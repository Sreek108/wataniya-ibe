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hmoud\Desktop\"/>
    </mc:Choice>
  </mc:AlternateContent>
  <xr:revisionPtr revIDLastSave="0" documentId="8_{0BE0A4A2-BB9E-462B-B663-3F3DC4342F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ail (2)" sheetId="2" r:id="rId1"/>
  </sheets>
  <definedNames>
    <definedName name="_xlnm._FilterDatabase" localSheetId="0" hidden="1">'Retail (2)'!$A$65:$N$65</definedName>
    <definedName name="_xlnm.Print_Area" localSheetId="0">'Retail (2)'!$B$1:$I$55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0" i="2" l="1"/>
  <c r="F59" i="2"/>
  <c r="F74" i="2"/>
  <c r="F73" i="2"/>
  <c r="F72" i="2"/>
  <c r="F71" i="2"/>
  <c r="F70" i="2"/>
  <c r="F69" i="2"/>
  <c r="F68" i="2"/>
  <c r="F67" i="2"/>
  <c r="F66" i="2"/>
  <c r="N78" i="2"/>
  <c r="J25" i="2" l="1"/>
  <c r="J26" i="2"/>
  <c r="J27" i="2"/>
  <c r="J28" i="2"/>
  <c r="J16" i="2"/>
  <c r="H73" i="2"/>
  <c r="H72" i="2"/>
  <c r="H71" i="2"/>
  <c r="H70" i="2"/>
  <c r="H69" i="2"/>
  <c r="H68" i="2"/>
  <c r="H67" i="2"/>
  <c r="H66" i="2"/>
  <c r="H46" i="2"/>
  <c r="H45" i="2"/>
  <c r="G67" i="2"/>
  <c r="G74" i="2"/>
  <c r="N74" i="2"/>
  <c r="N71" i="2"/>
  <c r="K61" i="2"/>
  <c r="C75" i="2"/>
  <c r="D75" i="2"/>
  <c r="E75" i="2"/>
  <c r="C61" i="2"/>
  <c r="D61" i="2"/>
  <c r="C54" i="2"/>
  <c r="D54" i="2"/>
  <c r="C47" i="2"/>
  <c r="D47" i="2"/>
  <c r="C39" i="2"/>
  <c r="D39" i="2"/>
  <c r="C29" i="2"/>
  <c r="D29" i="2"/>
  <c r="C19" i="2"/>
  <c r="D19" i="2"/>
  <c r="G73" i="2"/>
  <c r="G72" i="2"/>
  <c r="G71" i="2"/>
  <c r="G70" i="2"/>
  <c r="G69" i="2"/>
  <c r="G68" i="2"/>
  <c r="G53" i="2"/>
  <c r="G46" i="2"/>
  <c r="G45" i="2"/>
  <c r="G38" i="2"/>
  <c r="G37" i="2"/>
  <c r="G36" i="2"/>
  <c r="G35" i="2"/>
  <c r="F25" i="2"/>
  <c r="H25" i="2" s="1"/>
  <c r="F26" i="2"/>
  <c r="H26" i="2" s="1"/>
  <c r="I27" i="2"/>
  <c r="F28" i="2"/>
  <c r="H28" i="2" s="1"/>
  <c r="I18" i="2"/>
  <c r="I17" i="2"/>
  <c r="I16" i="2"/>
  <c r="I15" i="2"/>
  <c r="E15" i="2"/>
  <c r="J15" i="2" s="1"/>
  <c r="E16" i="2"/>
  <c r="E17" i="2"/>
  <c r="J17" i="2" s="1"/>
  <c r="E18" i="2"/>
  <c r="J18" i="2" s="1"/>
  <c r="E45" i="2"/>
  <c r="E46" i="2"/>
  <c r="E35" i="2"/>
  <c r="H35" i="2" s="1"/>
  <c r="E36" i="2"/>
  <c r="H36" i="2" s="1"/>
  <c r="E37" i="2"/>
  <c r="H37" i="2" s="1"/>
  <c r="E38" i="2"/>
  <c r="H38" i="2" s="1"/>
  <c r="E25" i="2"/>
  <c r="E26" i="2"/>
  <c r="E27" i="2"/>
  <c r="E28" i="2"/>
  <c r="K29" i="2" l="1"/>
  <c r="K39" i="2"/>
  <c r="L39" i="2"/>
  <c r="M39" i="2"/>
  <c r="K54" i="2"/>
  <c r="L54" i="2"/>
  <c r="M54" i="2"/>
  <c r="N70" i="2"/>
  <c r="N68" i="2"/>
  <c r="L61" i="2"/>
  <c r="M61" i="2"/>
  <c r="N73" i="2"/>
  <c r="L29" i="2"/>
  <c r="M29" i="2"/>
  <c r="L47" i="2"/>
  <c r="K47" i="2"/>
  <c r="M47" i="2"/>
  <c r="L75" i="2"/>
  <c r="K19" i="2"/>
  <c r="L19" i="2"/>
  <c r="M75" i="2"/>
  <c r="M19" i="2"/>
  <c r="N72" i="2"/>
  <c r="N66" i="2"/>
  <c r="N67" i="2"/>
  <c r="N69" i="2"/>
  <c r="K75" i="2"/>
  <c r="F61" i="2"/>
  <c r="F47" i="2"/>
  <c r="F54" i="2"/>
  <c r="F75" i="2"/>
  <c r="G29" i="2"/>
  <c r="F39" i="2"/>
  <c r="G19" i="2"/>
  <c r="N59" i="2"/>
  <c r="F16" i="2"/>
  <c r="F15" i="2"/>
  <c r="F18" i="2"/>
  <c r="F17" i="2"/>
  <c r="H17" i="2" s="1"/>
  <c r="N60" i="2"/>
  <c r="F27" i="2"/>
  <c r="H27" i="2" s="1"/>
  <c r="I25" i="2"/>
  <c r="I26" i="2"/>
  <c r="I28" i="2"/>
  <c r="I9" i="2"/>
  <c r="E60" i="2"/>
  <c r="H60" i="2" s="1"/>
  <c r="E59" i="2"/>
  <c r="E9" i="2"/>
  <c r="J9" i="2" s="1"/>
  <c r="E61" i="2" l="1"/>
  <c r="H59" i="2"/>
  <c r="G61" i="2"/>
  <c r="H61" i="2"/>
  <c r="G75" i="2"/>
  <c r="H75" i="2"/>
  <c r="G54" i="2"/>
  <c r="G47" i="2"/>
  <c r="G39" i="2"/>
  <c r="I29" i="2"/>
  <c r="I19" i="2"/>
  <c r="N75" i="2"/>
  <c r="N61" i="2"/>
  <c r="H18" i="2"/>
  <c r="H15" i="2"/>
  <c r="H16" i="2"/>
  <c r="F9" i="2"/>
  <c r="G34" i="2"/>
  <c r="H9" i="2" l="1"/>
  <c r="G66" i="2" l="1"/>
  <c r="G60" i="2"/>
  <c r="E53" i="2"/>
  <c r="H53" i="2" s="1"/>
  <c r="E52" i="2"/>
  <c r="H52" i="2" s="1"/>
  <c r="G44" i="2"/>
  <c r="E44" i="2"/>
  <c r="E34" i="2"/>
  <c r="I24" i="2"/>
  <c r="E24" i="2"/>
  <c r="E14" i="2"/>
  <c r="E5" i="2"/>
  <c r="J5" i="2" s="1"/>
  <c r="E29" i="2" l="1"/>
  <c r="J29" i="2" s="1"/>
  <c r="J24" i="2"/>
  <c r="E19" i="2"/>
  <c r="J19" i="2" s="1"/>
  <c r="J14" i="2"/>
  <c r="E39" i="2"/>
  <c r="H39" i="2" s="1"/>
  <c r="H34" i="2"/>
  <c r="E47" i="2"/>
  <c r="H47" i="2" s="1"/>
  <c r="H44" i="2"/>
  <c r="E54" i="2"/>
  <c r="H54" i="2" s="1"/>
  <c r="F24" i="2"/>
  <c r="F29" i="2" s="1"/>
  <c r="H29" i="2" s="1"/>
  <c r="G59" i="2"/>
  <c r="G52" i="2"/>
  <c r="I14" i="2"/>
  <c r="F14" i="2"/>
  <c r="F19" i="2" l="1"/>
  <c r="H19" i="2" s="1"/>
  <c r="H14" i="2"/>
  <c r="H24" i="2"/>
  <c r="F5" i="2" l="1"/>
  <c r="H5" i="2" s="1"/>
  <c r="I5" i="2"/>
</calcChain>
</file>

<file path=xl/sharedStrings.xml><?xml version="1.0" encoding="utf-8"?>
<sst xmlns="http://schemas.openxmlformats.org/spreadsheetml/2006/main" count="150" uniqueCount="66">
  <si>
    <t>Achievement</t>
  </si>
  <si>
    <t xml:space="preserve">Count </t>
  </si>
  <si>
    <t>Overdue Amount</t>
  </si>
  <si>
    <t>Target Amount</t>
  </si>
  <si>
    <t>Collected Amount from overdue</t>
  </si>
  <si>
    <t>Target</t>
  </si>
  <si>
    <t xml:space="preserve"> Roll back  </t>
  </si>
  <si>
    <t>OUSTSTANING_AMT</t>
  </si>
  <si>
    <t>Achievement %</t>
  </si>
  <si>
    <t>Grand Total</t>
  </si>
  <si>
    <t>Agent Name</t>
  </si>
  <si>
    <t>O/S</t>
  </si>
  <si>
    <t xml:space="preserve">Rollforward </t>
  </si>
  <si>
    <t>Rollforward %</t>
  </si>
  <si>
    <t xml:space="preserve"> Roll back  %</t>
  </si>
  <si>
    <t>Stable</t>
  </si>
  <si>
    <t xml:space="preserve">PKT-1 (1 - 30 DPD) Rollforward 10% </t>
  </si>
  <si>
    <t>A- 1-30</t>
  </si>
  <si>
    <t>Sheetal</t>
  </si>
  <si>
    <t>URDU 31-450- Collected Amount 12%</t>
  </si>
  <si>
    <t>PKT-2 (31 - 60 DPD)  Rollforward 25 %</t>
  </si>
  <si>
    <t>NPA 181 - 360 DPD - Collected Amount - 7%</t>
  </si>
  <si>
    <t>Ibrahim Abyan</t>
  </si>
  <si>
    <t>Hala Salem Alqahtani</t>
  </si>
  <si>
    <t>PKT-3 (61 - 90 DPD) Rollforward 30%</t>
  </si>
  <si>
    <t xml:space="preserve"> NPA  91- 180 DPD  Roll back 25 %</t>
  </si>
  <si>
    <t>Manal Sami Almusaad</t>
  </si>
  <si>
    <t>Nawaf Suliman Aldayel</t>
  </si>
  <si>
    <t>NPA 361 - 450 DPD - Collected Amount - 5%</t>
  </si>
  <si>
    <t>Collection by court</t>
  </si>
  <si>
    <t>Total collection</t>
  </si>
  <si>
    <t>Fahad Abdulaziz Alateeq</t>
  </si>
  <si>
    <t>Trad Khaled Alharbi</t>
  </si>
  <si>
    <t>Discont amount</t>
  </si>
  <si>
    <t>Hajir Obaid Al-Otaibi </t>
  </si>
  <si>
    <t>Fahad Laili Obaid AlMarei</t>
  </si>
  <si>
    <t>Atheer Alhwasheil</t>
  </si>
  <si>
    <t>Mishaal Suleiman Alsaeed</t>
  </si>
  <si>
    <t>khalid Aytim Alanazi</t>
  </si>
  <si>
    <t>Suleiman Alhodhaif</t>
  </si>
  <si>
    <t>Net collection</t>
  </si>
  <si>
    <t>Urdu Write Off + 450 - Target 1 % Recovery</t>
  </si>
  <si>
    <t>Faez Abdualh Satem Mohamed</t>
  </si>
  <si>
    <t>Fozyah Abdulaziz Alkhulifi</t>
  </si>
  <si>
    <t>Amjd Ibrahim Al-Hazmi</t>
  </si>
  <si>
    <t>Mohammed Aedh Alharthi</t>
  </si>
  <si>
    <t>Sultan Fahad Alinzee</t>
  </si>
  <si>
    <t>Retail Target April - 2026</t>
  </si>
  <si>
    <t>Prins o/s</t>
  </si>
  <si>
    <t>B -31-60</t>
  </si>
  <si>
    <t>IVR - 61-90</t>
  </si>
  <si>
    <t>Mohammed Saleh Aldalbahi</t>
  </si>
  <si>
    <t>IVR - NPA  91- 180</t>
  </si>
  <si>
    <t>Manal Salem Madi</t>
  </si>
  <si>
    <t>Fotoon Abdullah Khathran</t>
  </si>
  <si>
    <t>IVR - NPA  - 181 - 360</t>
  </si>
  <si>
    <t>Abdulrahman Bakheet Al Otaibi</t>
  </si>
  <si>
    <t>IVR - NPA  - 361 - 450</t>
  </si>
  <si>
    <t>Sarah Abdulaziz Aljurayyad</t>
  </si>
  <si>
    <t>Anisha</t>
  </si>
  <si>
    <t>Sheetal - Write off</t>
  </si>
  <si>
    <t>Anisha - Write off</t>
  </si>
  <si>
    <t>IVR - Write Off + 450</t>
  </si>
  <si>
    <t xml:space="preserve">Target / Net </t>
  </si>
  <si>
    <t>Achievement amount With discount amount Without court amount</t>
  </si>
  <si>
    <t xml:space="preserve">Write off  - Target 400K Recovery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</si>
</sst>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165" fontId="2" fillId="0" borderId="1" xfId="1" applyNumberFormat="1" applyFont="1" applyFill="1" applyBorder="1" applyAlignment="1">
      <alignment horizontal="center" vertical="center" wrapText="1"/>
    </xf>
    <xf numFmtId="165" fontId="2" fillId="0" borderId="0" xfId="1" applyNumberFormat="1" applyFont="1" applyFill="1" applyBorder="1" applyAlignment="1">
      <alignment horizontal="center" vertical="center" wrapText="1"/>
    </xf>
    <xf numFmtId="165" fontId="2" fillId="0" borderId="0" xfId="1" applyNumberFormat="1" applyFont="1" applyFill="1" applyBorder="1" applyAlignment="1">
      <alignment horizontal="center" vertical="center"/>
    </xf>
    <xf numFmtId="165" fontId="2" fillId="0" borderId="0" xfId="1" applyNumberFormat="1" applyFont="1" applyFill="1" applyBorder="1" applyAlignment="1">
      <alignment horizontal="left" vertical="center"/>
    </xf>
    <xf numFmtId="165" fontId="2" fillId="0" borderId="1" xfId="1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left" vertical="center"/>
    </xf>
    <xf numFmtId="164" fontId="2" fillId="0" borderId="0" xfId="2" applyNumberFormat="1" applyFont="1" applyFill="1" applyBorder="1" applyAlignment="1">
      <alignment horizontal="center" vertical="center"/>
    </xf>
    <xf numFmtId="9" fontId="2" fillId="0" borderId="1" xfId="2" applyFont="1" applyFill="1" applyBorder="1" applyAlignment="1">
      <alignment horizontal="center" vertical="center" wrapText="1"/>
    </xf>
    <xf numFmtId="164" fontId="2" fillId="0" borderId="0" xfId="2" applyNumberFormat="1" applyFont="1" applyFill="1" applyBorder="1" applyAlignment="1">
      <alignment horizontal="center" vertical="center" wrapText="1"/>
    </xf>
    <xf numFmtId="9" fontId="3" fillId="0" borderId="1" xfId="2" applyFont="1" applyFill="1" applyBorder="1" applyAlignment="1">
      <alignment horizontal="center" vertical="center" wrapText="1"/>
    </xf>
    <xf numFmtId="164" fontId="3" fillId="0" borderId="1" xfId="2" applyNumberFormat="1" applyFont="1" applyFill="1" applyBorder="1" applyAlignment="1">
      <alignment horizontal="center" vertical="center" wrapText="1"/>
    </xf>
    <xf numFmtId="9" fontId="2" fillId="0" borderId="0" xfId="2" applyFont="1" applyFill="1" applyBorder="1" applyAlignment="1">
      <alignment horizontal="center" vertical="center"/>
    </xf>
    <xf numFmtId="10" fontId="3" fillId="0" borderId="1" xfId="2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165" fontId="4" fillId="0" borderId="0" xfId="1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17" fontId="2" fillId="0" borderId="0" xfId="0" applyNumberFormat="1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165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165" fontId="4" fillId="0" borderId="0" xfId="1" applyNumberFormat="1" applyFont="1" applyFill="1" applyBorder="1" applyAlignment="1">
      <alignment horizontal="center" vertical="center" wrapText="1"/>
    </xf>
    <xf numFmtId="164" fontId="4" fillId="0" borderId="0" xfId="2" applyNumberFormat="1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 applyAlignment="1">
      <alignment horizontal="center" vertical="center"/>
    </xf>
    <xf numFmtId="164" fontId="2" fillId="0" borderId="1" xfId="2" applyNumberFormat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 wrapText="1"/>
    </xf>
    <xf numFmtId="165" fontId="2" fillId="3" borderId="1" xfId="1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 wrapText="1"/>
    </xf>
    <xf numFmtId="164" fontId="2" fillId="3" borderId="1" xfId="2" applyNumberFormat="1" applyFont="1" applyFill="1" applyBorder="1" applyAlignment="1">
      <alignment horizontal="center" vertical="center" wrapText="1"/>
    </xf>
    <xf numFmtId="9" fontId="2" fillId="3" borderId="1" xfId="2" applyFont="1" applyFill="1" applyBorder="1" applyAlignment="1">
      <alignment horizontal="center" vertical="center" wrapText="1"/>
    </xf>
    <xf numFmtId="164" fontId="3" fillId="3" borderId="1" xfId="2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5" fontId="2" fillId="3" borderId="0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FAAAA-02AA-4B23-B8D4-1492661E783E}">
  <sheetPr>
    <pageSetUpPr autoPageBreaks="0"/>
  </sheetPr>
  <dimension ref="A1:N78"/>
  <sheetViews>
    <sheetView tabSelected="1" zoomScaleNormal="100" zoomScaleSheetLayoutView="70" workbookViewId="0">
      <pane ySplit="1" topLeftCell="A35" activePane="bottomLeft" state="frozen"/>
      <selection pane="bottomLeft" activeCell="G50" sqref="G50"/>
    </sheetView>
  </sheetViews>
  <sheetFormatPr defaultColWidth="8.88671875" defaultRowHeight="14.4" x14ac:dyDescent="0.3"/>
  <cols>
    <col min="1" max="1" width="7.33203125" style="25" customWidth="1"/>
    <col min="2" max="2" width="24.33203125" style="20" customWidth="1"/>
    <col min="3" max="3" width="7.6640625" style="14" customWidth="1"/>
    <col min="4" max="4" width="13.33203125" style="22" bestFit="1" customWidth="1"/>
    <col min="5" max="5" width="10.33203125" style="23" bestFit="1" customWidth="1"/>
    <col min="6" max="6" width="17.6640625" style="23" customWidth="1"/>
    <col min="7" max="7" width="12.109375" style="23" bestFit="1" customWidth="1"/>
    <col min="8" max="8" width="10" style="23" customWidth="1"/>
    <col min="9" max="9" width="11.44140625" style="24" customWidth="1"/>
    <col min="10" max="10" width="13.6640625" style="23" customWidth="1"/>
    <col min="11" max="11" width="10.21875" style="14" bestFit="1" customWidth="1"/>
    <col min="12" max="12" width="9.21875" style="14" bestFit="1" customWidth="1"/>
    <col min="13" max="13" width="10.6640625" style="14" bestFit="1" customWidth="1"/>
    <col min="14" max="14" width="7.77734375" style="14" bestFit="1" customWidth="1"/>
    <col min="15" max="16384" width="8.88671875" style="14"/>
  </cols>
  <sheetData>
    <row r="1" spans="1:13" ht="27.75" customHeight="1" x14ac:dyDescent="0.3">
      <c r="B1" s="16" t="s">
        <v>47</v>
      </c>
      <c r="C1" s="17"/>
      <c r="D1" s="17"/>
      <c r="E1" s="3"/>
      <c r="F1" s="3"/>
      <c r="G1" s="3"/>
      <c r="H1" s="3"/>
      <c r="I1" s="17"/>
      <c r="J1" s="3"/>
      <c r="K1" s="17"/>
    </row>
    <row r="2" spans="1:13" x14ac:dyDescent="0.3">
      <c r="B2" s="16"/>
      <c r="C2" s="17"/>
      <c r="D2" s="18"/>
      <c r="E2" s="3"/>
      <c r="F2" s="3"/>
      <c r="G2" s="3"/>
      <c r="H2" s="3"/>
      <c r="I2" s="7"/>
      <c r="J2" s="3"/>
      <c r="K2" s="7"/>
    </row>
    <row r="3" spans="1:13" ht="10.199999999999999" x14ac:dyDescent="0.3">
      <c r="A3" s="4"/>
      <c r="B3" s="29" t="s">
        <v>16</v>
      </c>
      <c r="C3" s="30"/>
      <c r="D3" s="30"/>
      <c r="E3" s="30"/>
      <c r="F3" s="30"/>
      <c r="G3" s="32" t="s">
        <v>0</v>
      </c>
      <c r="H3" s="33">
        <v>0.9</v>
      </c>
      <c r="I3" s="33">
        <v>0.1</v>
      </c>
      <c r="J3" s="3"/>
      <c r="K3" s="30"/>
      <c r="L3" s="30"/>
      <c r="M3" s="30"/>
    </row>
    <row r="4" spans="1:13" ht="20.399999999999999" x14ac:dyDescent="0.3">
      <c r="A4" s="4"/>
      <c r="B4" s="29" t="s">
        <v>10</v>
      </c>
      <c r="C4" s="30" t="s">
        <v>1</v>
      </c>
      <c r="D4" s="31" t="s">
        <v>48</v>
      </c>
      <c r="E4" s="31" t="s">
        <v>3</v>
      </c>
      <c r="F4" s="31" t="s">
        <v>15</v>
      </c>
      <c r="G4" s="34" t="s">
        <v>12</v>
      </c>
      <c r="H4" s="35" t="s">
        <v>15</v>
      </c>
      <c r="I4" s="35" t="s">
        <v>13</v>
      </c>
      <c r="J4" s="2"/>
      <c r="K4" s="31" t="s">
        <v>30</v>
      </c>
      <c r="L4" s="31" t="s">
        <v>29</v>
      </c>
      <c r="M4" s="31" t="s">
        <v>33</v>
      </c>
    </row>
    <row r="5" spans="1:13" ht="10.199999999999999" x14ac:dyDescent="0.3">
      <c r="A5" s="4"/>
      <c r="B5" s="6" t="s">
        <v>17</v>
      </c>
      <c r="C5" s="5">
        <v>40587</v>
      </c>
      <c r="D5" s="1">
        <v>254069456</v>
      </c>
      <c r="E5" s="1">
        <f>D5*10%</f>
        <v>25406945.600000001</v>
      </c>
      <c r="F5" s="1">
        <f>D5-G5</f>
        <v>181200987</v>
      </c>
      <c r="G5" s="1">
        <v>72868469</v>
      </c>
      <c r="H5" s="8">
        <f>F5/D5</f>
        <v>0.71319469035270422</v>
      </c>
      <c r="I5" s="13">
        <f>G5/D5</f>
        <v>0.28680530964729584</v>
      </c>
      <c r="J5" s="2">
        <f>E5-G5</f>
        <v>-47461523.399999999</v>
      </c>
      <c r="K5" s="1">
        <v>17098177.239999991</v>
      </c>
      <c r="L5" s="1">
        <v>433572.87000000011</v>
      </c>
      <c r="M5" s="1">
        <v>70801</v>
      </c>
    </row>
    <row r="6" spans="1:13" ht="10.199999999999999" x14ac:dyDescent="0.3">
      <c r="A6" s="4"/>
      <c r="B6" s="4"/>
      <c r="C6" s="3"/>
      <c r="D6" s="2"/>
      <c r="E6" s="2"/>
      <c r="F6" s="3"/>
      <c r="G6" s="3"/>
      <c r="H6" s="12"/>
      <c r="I6" s="12"/>
      <c r="J6" s="3"/>
      <c r="K6" s="2"/>
      <c r="L6" s="3"/>
      <c r="M6" s="3"/>
    </row>
    <row r="7" spans="1:13" ht="10.199999999999999" x14ac:dyDescent="0.3">
      <c r="A7" s="4"/>
      <c r="B7" s="29" t="s">
        <v>20</v>
      </c>
      <c r="C7" s="30"/>
      <c r="D7" s="30"/>
      <c r="E7" s="30"/>
      <c r="F7" s="30"/>
      <c r="G7" s="32" t="s">
        <v>0</v>
      </c>
      <c r="H7" s="33">
        <v>0.75</v>
      </c>
      <c r="I7" s="33">
        <v>0.25</v>
      </c>
      <c r="J7" s="3"/>
      <c r="K7" s="30"/>
      <c r="L7" s="30"/>
      <c r="M7" s="30"/>
    </row>
    <row r="8" spans="1:13" ht="20.399999999999999" x14ac:dyDescent="0.3">
      <c r="A8" s="4"/>
      <c r="B8" s="29" t="s">
        <v>10</v>
      </c>
      <c r="C8" s="30" t="s">
        <v>1</v>
      </c>
      <c r="D8" s="31" t="s">
        <v>48</v>
      </c>
      <c r="E8" s="31" t="s">
        <v>3</v>
      </c>
      <c r="F8" s="31" t="s">
        <v>15</v>
      </c>
      <c r="G8" s="34" t="s">
        <v>12</v>
      </c>
      <c r="H8" s="35" t="s">
        <v>15</v>
      </c>
      <c r="I8" s="35" t="s">
        <v>13</v>
      </c>
      <c r="J8" s="2"/>
      <c r="K8" s="31" t="s">
        <v>30</v>
      </c>
      <c r="L8" s="31" t="s">
        <v>29</v>
      </c>
      <c r="M8" s="31" t="s">
        <v>33</v>
      </c>
    </row>
    <row r="9" spans="1:13" ht="10.199999999999999" x14ac:dyDescent="0.3">
      <c r="A9" s="4"/>
      <c r="B9" s="6" t="s">
        <v>49</v>
      </c>
      <c r="C9" s="5">
        <v>8694</v>
      </c>
      <c r="D9" s="1">
        <v>55519083</v>
      </c>
      <c r="E9" s="1">
        <f t="shared" ref="E9" si="0">D9*25%</f>
        <v>13879770.75</v>
      </c>
      <c r="F9" s="1">
        <f t="shared" ref="F9" si="1">D9-G9</f>
        <v>22396236</v>
      </c>
      <c r="G9" s="1">
        <v>33122847</v>
      </c>
      <c r="H9" s="8">
        <f t="shared" ref="H9" si="2">F9/D9</f>
        <v>0.40339708060379886</v>
      </c>
      <c r="I9" s="10">
        <f t="shared" ref="I9" si="3">G9/D9</f>
        <v>0.59660291939620114</v>
      </c>
      <c r="J9" s="2">
        <f>E9-G9</f>
        <v>-19243076.25</v>
      </c>
      <c r="K9" s="1">
        <v>2971324.4600000014</v>
      </c>
      <c r="L9" s="1">
        <v>266686.66000000009</v>
      </c>
      <c r="M9" s="1">
        <v>40970.19</v>
      </c>
    </row>
    <row r="10" spans="1:13" ht="10.199999999999999" x14ac:dyDescent="0.3">
      <c r="A10" s="4"/>
      <c r="B10" s="4"/>
      <c r="C10" s="3"/>
      <c r="D10" s="3"/>
      <c r="E10" s="3"/>
      <c r="F10" s="3"/>
      <c r="G10" s="3"/>
      <c r="H10" s="7"/>
      <c r="I10" s="7"/>
      <c r="J10" s="3"/>
      <c r="K10" s="3"/>
      <c r="L10" s="3"/>
      <c r="M10" s="3"/>
    </row>
    <row r="11" spans="1:13" ht="10.199999999999999" x14ac:dyDescent="0.3">
      <c r="A11" s="20"/>
      <c r="C11" s="3"/>
      <c r="D11" s="3"/>
      <c r="E11" s="3"/>
      <c r="F11" s="3"/>
      <c r="G11" s="3"/>
      <c r="H11" s="7"/>
      <c r="I11" s="7"/>
      <c r="J11" s="3"/>
      <c r="K11" s="3"/>
      <c r="L11" s="3"/>
      <c r="M11" s="3"/>
    </row>
    <row r="12" spans="1:13" ht="10.199999999999999" x14ac:dyDescent="0.3">
      <c r="A12" s="4"/>
      <c r="B12" s="29" t="s">
        <v>24</v>
      </c>
      <c r="C12" s="30"/>
      <c r="D12" s="30"/>
      <c r="E12" s="30"/>
      <c r="F12" s="30"/>
      <c r="G12" s="32" t="s">
        <v>0</v>
      </c>
      <c r="H12" s="33">
        <v>0.7</v>
      </c>
      <c r="I12" s="33">
        <v>0.3</v>
      </c>
      <c r="J12" s="3"/>
      <c r="K12" s="30"/>
      <c r="L12" s="30"/>
      <c r="M12" s="30"/>
    </row>
    <row r="13" spans="1:13" ht="20.399999999999999" x14ac:dyDescent="0.3">
      <c r="A13" s="4"/>
      <c r="B13" s="29" t="s">
        <v>10</v>
      </c>
      <c r="C13" s="30" t="s">
        <v>1</v>
      </c>
      <c r="D13" s="31" t="s">
        <v>48</v>
      </c>
      <c r="E13" s="31" t="s">
        <v>3</v>
      </c>
      <c r="F13" s="31" t="s">
        <v>15</v>
      </c>
      <c r="G13" s="34" t="s">
        <v>12</v>
      </c>
      <c r="H13" s="35" t="s">
        <v>15</v>
      </c>
      <c r="I13" s="35" t="s">
        <v>13</v>
      </c>
      <c r="J13" s="2"/>
      <c r="K13" s="31" t="s">
        <v>30</v>
      </c>
      <c r="L13" s="31" t="s">
        <v>29</v>
      </c>
      <c r="M13" s="31" t="s">
        <v>33</v>
      </c>
    </row>
    <row r="14" spans="1:13" ht="10.199999999999999" x14ac:dyDescent="0.3">
      <c r="A14" s="4"/>
      <c r="B14" s="6" t="s">
        <v>26</v>
      </c>
      <c r="C14" s="5">
        <v>1025</v>
      </c>
      <c r="D14" s="1">
        <v>6568296</v>
      </c>
      <c r="E14" s="1">
        <f>D14*30%</f>
        <v>1970488.7999999998</v>
      </c>
      <c r="F14" s="1">
        <f>D14-G14</f>
        <v>3876500</v>
      </c>
      <c r="G14" s="1">
        <v>2691796</v>
      </c>
      <c r="H14" s="8">
        <f>F14/D14</f>
        <v>0.59018351182711615</v>
      </c>
      <c r="I14" s="10">
        <f t="shared" ref="I14:I18" si="4">G14/D14</f>
        <v>0.4098164881728838</v>
      </c>
      <c r="J14" s="2">
        <f>E14-G14</f>
        <v>-721307.20000000019</v>
      </c>
      <c r="K14" s="1">
        <v>824143.09999999974</v>
      </c>
      <c r="L14" s="1">
        <v>313409.58</v>
      </c>
      <c r="M14" s="1">
        <v>660.01</v>
      </c>
    </row>
    <row r="15" spans="1:13" ht="10.199999999999999" x14ac:dyDescent="0.3">
      <c r="A15" s="4"/>
      <c r="B15" s="6" t="s">
        <v>23</v>
      </c>
      <c r="C15" s="5">
        <v>1003</v>
      </c>
      <c r="D15" s="1">
        <v>6567964</v>
      </c>
      <c r="E15" s="1">
        <f t="shared" ref="E15:E18" si="5">D15*30%</f>
        <v>1970389.2</v>
      </c>
      <c r="F15" s="1">
        <f t="shared" ref="F15:F18" si="6">D15-G15</f>
        <v>3929335</v>
      </c>
      <c r="G15" s="1">
        <v>2638629</v>
      </c>
      <c r="H15" s="8">
        <f t="shared" ref="H15:H18" si="7">F15/D15</f>
        <v>0.59825769446970167</v>
      </c>
      <c r="I15" s="10">
        <f t="shared" si="4"/>
        <v>0.40174230553029827</v>
      </c>
      <c r="J15" s="2">
        <f t="shared" ref="J15:J19" si="8">E15-G15</f>
        <v>-668239.80000000005</v>
      </c>
      <c r="K15" s="1">
        <v>893300.03</v>
      </c>
      <c r="L15" s="1">
        <v>367888.08</v>
      </c>
      <c r="M15" s="1">
        <v>6567.8</v>
      </c>
    </row>
    <row r="16" spans="1:13" ht="10.199999999999999" x14ac:dyDescent="0.3">
      <c r="A16" s="4"/>
      <c r="B16" s="6" t="s">
        <v>43</v>
      </c>
      <c r="C16" s="5">
        <v>1007</v>
      </c>
      <c r="D16" s="1">
        <v>6567845</v>
      </c>
      <c r="E16" s="1">
        <f t="shared" si="5"/>
        <v>1970353.5</v>
      </c>
      <c r="F16" s="1">
        <f t="shared" si="6"/>
        <v>3989108</v>
      </c>
      <c r="G16" s="1">
        <v>2578737</v>
      </c>
      <c r="H16" s="8">
        <f t="shared" si="7"/>
        <v>0.60736938828489406</v>
      </c>
      <c r="I16" s="10">
        <f t="shared" si="4"/>
        <v>0.39263061171510594</v>
      </c>
      <c r="J16" s="2">
        <f t="shared" si="8"/>
        <v>-608383.5</v>
      </c>
      <c r="K16" s="1">
        <v>797394.19000000006</v>
      </c>
      <c r="L16" s="1">
        <v>272261.49999999994</v>
      </c>
      <c r="M16" s="1">
        <v>5603</v>
      </c>
    </row>
    <row r="17" spans="1:14" ht="10.199999999999999" x14ac:dyDescent="0.3">
      <c r="A17" s="4"/>
      <c r="B17" s="6" t="s">
        <v>51</v>
      </c>
      <c r="C17" s="5">
        <v>1008</v>
      </c>
      <c r="D17" s="1">
        <v>6567590</v>
      </c>
      <c r="E17" s="1">
        <f t="shared" si="5"/>
        <v>1970277</v>
      </c>
      <c r="F17" s="1">
        <f>D17-G17</f>
        <v>3623186</v>
      </c>
      <c r="G17" s="1">
        <v>2944404</v>
      </c>
      <c r="H17" s="8">
        <f t="shared" si="7"/>
        <v>0.55167664242134484</v>
      </c>
      <c r="I17" s="10">
        <f t="shared" si="4"/>
        <v>0.44832335757865516</v>
      </c>
      <c r="J17" s="2">
        <f t="shared" si="8"/>
        <v>-974127</v>
      </c>
      <c r="K17" s="1">
        <v>902744.5299999998</v>
      </c>
      <c r="L17" s="1">
        <v>351105.81</v>
      </c>
      <c r="M17" s="1">
        <v>36372.04</v>
      </c>
    </row>
    <row r="18" spans="1:14" ht="13.8" x14ac:dyDescent="0.3">
      <c r="A18" s="4"/>
      <c r="B18" s="6" t="s">
        <v>50</v>
      </c>
      <c r="C18" s="5">
        <v>395</v>
      </c>
      <c r="D18" s="1">
        <v>2412380</v>
      </c>
      <c r="E18" s="1">
        <f t="shared" si="5"/>
        <v>723714</v>
      </c>
      <c r="F18" s="1">
        <f t="shared" si="6"/>
        <v>1628461</v>
      </c>
      <c r="G18" s="1">
        <v>783919</v>
      </c>
      <c r="H18" s="8">
        <f t="shared" si="7"/>
        <v>0.6750433182168647</v>
      </c>
      <c r="I18" s="10">
        <f t="shared" si="4"/>
        <v>0.3249566817831353</v>
      </c>
      <c r="J18" s="2">
        <f t="shared" si="8"/>
        <v>-60205</v>
      </c>
      <c r="K18" s="1">
        <v>303126.16999999993</v>
      </c>
      <c r="L18" s="1">
        <v>142698.09999999998</v>
      </c>
      <c r="M18" s="1">
        <v>299</v>
      </c>
      <c r="N18" s="26"/>
    </row>
    <row r="19" spans="1:14" ht="10.199999999999999" x14ac:dyDescent="0.3">
      <c r="A19" s="4"/>
      <c r="B19" s="29" t="s">
        <v>9</v>
      </c>
      <c r="C19" s="30">
        <f>SUM(C14:C18)</f>
        <v>4438</v>
      </c>
      <c r="D19" s="31">
        <f>SUM(D14:D18)</f>
        <v>28684075</v>
      </c>
      <c r="E19" s="31">
        <f>SUM(E14:E18)</f>
        <v>8605222.5</v>
      </c>
      <c r="F19" s="31">
        <f>SUM(F14:F18)</f>
        <v>17046590</v>
      </c>
      <c r="G19" s="34">
        <f>SUM(G14:G18)</f>
        <v>11637485</v>
      </c>
      <c r="H19" s="36">
        <f t="shared" ref="H19" si="9">F19/D19</f>
        <v>0.59428759686341637</v>
      </c>
      <c r="I19" s="36">
        <f t="shared" ref="I19" si="10">G19/D19</f>
        <v>0.40571240313658363</v>
      </c>
      <c r="J19" s="2">
        <f t="shared" si="8"/>
        <v>-3032262.5</v>
      </c>
      <c r="K19" s="31">
        <f>SUM(K14:K18)</f>
        <v>3720708.0199999996</v>
      </c>
      <c r="L19" s="31">
        <f>SUM(L14:L18)</f>
        <v>1447363.0699999998</v>
      </c>
      <c r="M19" s="31">
        <f>SUM(M14:M18)</f>
        <v>49501.850000000006</v>
      </c>
    </row>
    <row r="20" spans="1:14" ht="10.199999999999999" x14ac:dyDescent="0.3">
      <c r="A20" s="4"/>
      <c r="B20" s="4"/>
      <c r="C20" s="3"/>
      <c r="D20" s="2"/>
      <c r="E20" s="2"/>
      <c r="F20" s="2"/>
      <c r="G20" s="2"/>
      <c r="H20" s="2"/>
      <c r="I20" s="9"/>
      <c r="J20" s="2"/>
      <c r="K20" s="2"/>
      <c r="L20" s="2"/>
      <c r="M20" s="2"/>
    </row>
    <row r="21" spans="1:14" ht="10.199999999999999" x14ac:dyDescent="0.3">
      <c r="A21" s="4"/>
      <c r="B21" s="4"/>
      <c r="C21" s="3"/>
      <c r="D21" s="2"/>
      <c r="E21" s="2"/>
      <c r="F21" s="2"/>
      <c r="G21" s="2"/>
      <c r="H21" s="2"/>
      <c r="I21" s="9"/>
      <c r="J21" s="2"/>
      <c r="K21" s="2"/>
      <c r="L21" s="2"/>
      <c r="M21" s="2"/>
    </row>
    <row r="22" spans="1:14" ht="10.199999999999999" x14ac:dyDescent="0.3">
      <c r="A22" s="4"/>
      <c r="B22" s="29" t="s">
        <v>25</v>
      </c>
      <c r="C22" s="30"/>
      <c r="D22" s="30"/>
      <c r="E22" s="30"/>
      <c r="F22" s="30"/>
      <c r="G22" s="32" t="s">
        <v>0</v>
      </c>
      <c r="H22" s="33">
        <v>0.75</v>
      </c>
      <c r="I22" s="33">
        <v>0.25</v>
      </c>
      <c r="J22" s="3"/>
      <c r="K22" s="30"/>
      <c r="L22" s="30"/>
      <c r="M22" s="30"/>
    </row>
    <row r="23" spans="1:14" ht="20.399999999999999" x14ac:dyDescent="0.3">
      <c r="A23" s="4"/>
      <c r="B23" s="29" t="s">
        <v>10</v>
      </c>
      <c r="C23" s="30" t="s">
        <v>1</v>
      </c>
      <c r="D23" s="31" t="s">
        <v>48</v>
      </c>
      <c r="E23" s="31" t="s">
        <v>5</v>
      </c>
      <c r="F23" s="31" t="s">
        <v>15</v>
      </c>
      <c r="G23" s="34" t="s">
        <v>6</v>
      </c>
      <c r="H23" s="35" t="s">
        <v>15</v>
      </c>
      <c r="I23" s="35" t="s">
        <v>14</v>
      </c>
      <c r="J23" s="2"/>
      <c r="K23" s="31" t="s">
        <v>30</v>
      </c>
      <c r="L23" s="31" t="s">
        <v>29</v>
      </c>
      <c r="M23" s="31" t="s">
        <v>33</v>
      </c>
    </row>
    <row r="24" spans="1:14" ht="10.199999999999999" x14ac:dyDescent="0.3">
      <c r="A24" s="4"/>
      <c r="B24" s="6" t="s">
        <v>52</v>
      </c>
      <c r="C24" s="5">
        <v>1582</v>
      </c>
      <c r="D24" s="5">
        <v>11607398</v>
      </c>
      <c r="E24" s="1">
        <f>D24*25%</f>
        <v>2901849.5</v>
      </c>
      <c r="F24" s="1">
        <f>D24-G24</f>
        <v>9497319</v>
      </c>
      <c r="G24" s="1">
        <v>2110079</v>
      </c>
      <c r="H24" s="28">
        <f>F24/D24</f>
        <v>0.81821257442882545</v>
      </c>
      <c r="I24" s="11">
        <f t="shared" ref="I24" si="11">G24/D24</f>
        <v>0.18178742557117453</v>
      </c>
      <c r="J24" s="2">
        <f>G24-E24</f>
        <v>-791770.5</v>
      </c>
      <c r="K24" s="1">
        <v>1300832.8700000003</v>
      </c>
      <c r="L24" s="1">
        <v>1093530.9500000007</v>
      </c>
      <c r="M24" s="1">
        <v>64327.499999999993</v>
      </c>
    </row>
    <row r="25" spans="1:14" ht="10.199999999999999" x14ac:dyDescent="0.3">
      <c r="A25" s="4"/>
      <c r="B25" s="6" t="s">
        <v>53</v>
      </c>
      <c r="C25" s="5">
        <v>591</v>
      </c>
      <c r="D25" s="5">
        <v>4184992</v>
      </c>
      <c r="E25" s="1">
        <f t="shared" ref="E25:E28" si="12">D25*25%</f>
        <v>1046248</v>
      </c>
      <c r="F25" s="1">
        <f t="shared" ref="F25:F28" si="13">D25-G25</f>
        <v>3431394</v>
      </c>
      <c r="G25" s="1">
        <v>753598</v>
      </c>
      <c r="H25" s="28">
        <f t="shared" ref="H25:H28" si="14">F25/D25</f>
        <v>0.81992844908664098</v>
      </c>
      <c r="I25" s="11">
        <f t="shared" ref="I25:I28" si="15">G25/D25</f>
        <v>0.18007155091335897</v>
      </c>
      <c r="J25" s="2">
        <f t="shared" ref="J25:J29" si="16">G25-E25</f>
        <v>-292650</v>
      </c>
      <c r="K25" s="1">
        <v>420553.7</v>
      </c>
      <c r="L25" s="1">
        <v>325679.80999999994</v>
      </c>
      <c r="M25" s="1">
        <v>41575.82</v>
      </c>
    </row>
    <row r="26" spans="1:14" ht="10.199999999999999" x14ac:dyDescent="0.3">
      <c r="A26" s="4"/>
      <c r="B26" s="6" t="s">
        <v>45</v>
      </c>
      <c r="C26" s="5">
        <v>588</v>
      </c>
      <c r="D26" s="5">
        <v>4153449</v>
      </c>
      <c r="E26" s="1">
        <f t="shared" si="12"/>
        <v>1038362.25</v>
      </c>
      <c r="F26" s="1">
        <f t="shared" si="13"/>
        <v>3433193</v>
      </c>
      <c r="G26" s="1">
        <v>720256</v>
      </c>
      <c r="H26" s="28">
        <f t="shared" si="14"/>
        <v>0.82658845696672811</v>
      </c>
      <c r="I26" s="11">
        <f t="shared" si="15"/>
        <v>0.17341154303327186</v>
      </c>
      <c r="J26" s="2">
        <f t="shared" si="16"/>
        <v>-318106.25</v>
      </c>
      <c r="K26" s="1">
        <v>424856.9200000001</v>
      </c>
      <c r="L26" s="1">
        <v>303103.86999999994</v>
      </c>
      <c r="M26" s="1">
        <v>35854.57</v>
      </c>
    </row>
    <row r="27" spans="1:14" ht="10.199999999999999" x14ac:dyDescent="0.3">
      <c r="A27" s="4"/>
      <c r="B27" s="6" t="s">
        <v>54</v>
      </c>
      <c r="C27" s="5">
        <v>587</v>
      </c>
      <c r="D27" s="5">
        <v>4135970</v>
      </c>
      <c r="E27" s="1">
        <f t="shared" si="12"/>
        <v>1033992.5</v>
      </c>
      <c r="F27" s="1">
        <f t="shared" si="13"/>
        <v>3480948</v>
      </c>
      <c r="G27" s="1">
        <v>655022</v>
      </c>
      <c r="H27" s="28">
        <f t="shared" si="14"/>
        <v>0.84162796151809616</v>
      </c>
      <c r="I27" s="11">
        <f t="shared" si="15"/>
        <v>0.15837203848190387</v>
      </c>
      <c r="J27" s="2">
        <f t="shared" si="16"/>
        <v>-378970.5</v>
      </c>
      <c r="K27" s="1">
        <v>346728.50999999995</v>
      </c>
      <c r="L27" s="1">
        <v>259892</v>
      </c>
      <c r="M27" s="1">
        <v>22490.859999999997</v>
      </c>
    </row>
    <row r="28" spans="1:14" ht="10.199999999999999" x14ac:dyDescent="0.3">
      <c r="A28" s="4"/>
      <c r="B28" s="6" t="s">
        <v>36</v>
      </c>
      <c r="C28" s="5">
        <v>585</v>
      </c>
      <c r="D28" s="5">
        <v>4098384</v>
      </c>
      <c r="E28" s="1">
        <f t="shared" si="12"/>
        <v>1024596</v>
      </c>
      <c r="F28" s="1">
        <f t="shared" si="13"/>
        <v>3471155</v>
      </c>
      <c r="G28" s="1">
        <v>627229</v>
      </c>
      <c r="H28" s="28">
        <f t="shared" si="14"/>
        <v>0.84695699573295236</v>
      </c>
      <c r="I28" s="11">
        <f t="shared" si="15"/>
        <v>0.1530430042670477</v>
      </c>
      <c r="J28" s="2">
        <f t="shared" si="16"/>
        <v>-397367</v>
      </c>
      <c r="K28" s="1">
        <v>363148.24</v>
      </c>
      <c r="L28" s="1">
        <v>280632.69999999995</v>
      </c>
      <c r="M28" s="1">
        <v>31624.040000000005</v>
      </c>
    </row>
    <row r="29" spans="1:14" ht="10.199999999999999" x14ac:dyDescent="0.3">
      <c r="A29" s="4"/>
      <c r="B29" s="29" t="s">
        <v>9</v>
      </c>
      <c r="C29" s="30">
        <f>SUM(C24:C28)</f>
        <v>3933</v>
      </c>
      <c r="D29" s="30">
        <f>SUM(D24:D28)</f>
        <v>28180193</v>
      </c>
      <c r="E29" s="30">
        <f>SUM(E24:E28)</f>
        <v>7045048.25</v>
      </c>
      <c r="F29" s="30">
        <f>SUM(F24:F28)</f>
        <v>23314009</v>
      </c>
      <c r="G29" s="34">
        <f>SUM(G24:G28)</f>
        <v>4866184</v>
      </c>
      <c r="H29" s="35">
        <f t="shared" ref="H29" si="17">F29/D29</f>
        <v>0.82731899671517506</v>
      </c>
      <c r="I29" s="37">
        <f t="shared" ref="I29" si="18">G29/D29</f>
        <v>0.17268100328482491</v>
      </c>
      <c r="J29" s="2">
        <f t="shared" si="16"/>
        <v>-2178864.25</v>
      </c>
      <c r="K29" s="30">
        <f>SUM(K24:K28)</f>
        <v>2856120.24</v>
      </c>
      <c r="L29" s="30">
        <f>SUM(L24:L28)</f>
        <v>2262839.3300000005</v>
      </c>
      <c r="M29" s="31">
        <f>SUM(M24:M28)</f>
        <v>195872.78999999998</v>
      </c>
      <c r="N29" s="21"/>
    </row>
    <row r="30" spans="1:14" ht="10.199999999999999" x14ac:dyDescent="0.3">
      <c r="A30" s="4"/>
      <c r="B30" s="4"/>
      <c r="C30" s="3"/>
      <c r="D30" s="3"/>
      <c r="E30" s="3"/>
      <c r="F30" s="3"/>
      <c r="G30" s="2"/>
      <c r="H30" s="2"/>
      <c r="I30" s="9"/>
      <c r="J30" s="2"/>
      <c r="K30" s="2"/>
      <c r="L30" s="2"/>
    </row>
    <row r="31" spans="1:14" ht="10.199999999999999" x14ac:dyDescent="0.3">
      <c r="A31" s="4"/>
      <c r="B31" s="4"/>
      <c r="C31" s="3"/>
      <c r="D31" s="3"/>
      <c r="E31" s="3"/>
      <c r="F31" s="3"/>
      <c r="G31" s="2"/>
      <c r="H31" s="2"/>
      <c r="I31" s="9"/>
      <c r="J31" s="2"/>
    </row>
    <row r="32" spans="1:14" ht="10.199999999999999" x14ac:dyDescent="0.3">
      <c r="A32" s="4"/>
      <c r="B32" s="29" t="s">
        <v>21</v>
      </c>
      <c r="C32" s="30"/>
      <c r="D32" s="30"/>
      <c r="E32" s="30"/>
      <c r="F32" s="32" t="s">
        <v>0</v>
      </c>
      <c r="G32" s="38"/>
      <c r="H32" s="3"/>
      <c r="I32" s="3"/>
      <c r="J32" s="3"/>
      <c r="K32" s="30"/>
      <c r="L32" s="30"/>
      <c r="M32" s="30"/>
    </row>
    <row r="33" spans="1:14" ht="20.399999999999999" x14ac:dyDescent="0.3">
      <c r="A33" s="4"/>
      <c r="B33" s="29" t="s">
        <v>10</v>
      </c>
      <c r="C33" s="30" t="s">
        <v>1</v>
      </c>
      <c r="D33" s="31" t="s">
        <v>2</v>
      </c>
      <c r="E33" s="31" t="s">
        <v>3</v>
      </c>
      <c r="F33" s="34" t="s">
        <v>4</v>
      </c>
      <c r="G33" s="35" t="s">
        <v>4</v>
      </c>
      <c r="H33" s="9"/>
      <c r="I33" s="9"/>
      <c r="J33" s="2"/>
      <c r="K33" s="31" t="s">
        <v>30</v>
      </c>
      <c r="L33" s="31" t="s">
        <v>29</v>
      </c>
      <c r="M33" s="31" t="s">
        <v>33</v>
      </c>
      <c r="N33" s="15"/>
    </row>
    <row r="34" spans="1:14" ht="13.8" x14ac:dyDescent="0.3">
      <c r="A34" s="4"/>
      <c r="B34" s="6" t="s">
        <v>55</v>
      </c>
      <c r="C34" s="5">
        <v>1533</v>
      </c>
      <c r="D34" s="1">
        <v>7960988</v>
      </c>
      <c r="E34" s="1">
        <f>D34*7%</f>
        <v>557269.16</v>
      </c>
      <c r="F34" s="1">
        <v>291071.69000000006</v>
      </c>
      <c r="G34" s="11">
        <f>F34/D34</f>
        <v>3.656225709673222E-2</v>
      </c>
      <c r="H34" s="2">
        <f>F34-E34</f>
        <v>-266197.46999999997</v>
      </c>
      <c r="I34" s="9"/>
      <c r="J34" s="2"/>
      <c r="K34" s="1">
        <v>432922.39999999991</v>
      </c>
      <c r="L34" s="1">
        <v>323347.24999999994</v>
      </c>
      <c r="M34" s="1">
        <v>47759.37</v>
      </c>
      <c r="N34" s="27"/>
    </row>
    <row r="35" spans="1:14" ht="10.199999999999999" x14ac:dyDescent="0.3">
      <c r="A35" s="4"/>
      <c r="B35" s="6" t="s">
        <v>34</v>
      </c>
      <c r="C35" s="5">
        <v>636</v>
      </c>
      <c r="D35" s="1">
        <v>3036625</v>
      </c>
      <c r="E35" s="1">
        <f t="shared" ref="E35:E38" si="19">D35*7%</f>
        <v>212563.75000000003</v>
      </c>
      <c r="F35" s="1">
        <v>98105.819999999992</v>
      </c>
      <c r="G35" s="11">
        <f t="shared" ref="G35:G39" si="20">F35/D35</f>
        <v>3.2307519038406125E-2</v>
      </c>
      <c r="H35" s="2">
        <f t="shared" ref="H35:H39" si="21">F35-E35</f>
        <v>-114457.93000000004</v>
      </c>
      <c r="I35" s="9"/>
      <c r="J35" s="2"/>
      <c r="K35" s="1">
        <v>126684.95000000001</v>
      </c>
      <c r="L35" s="1">
        <v>80457.749999999971</v>
      </c>
      <c r="M35" s="1">
        <v>11789.79</v>
      </c>
      <c r="N35" s="15"/>
    </row>
    <row r="36" spans="1:14" ht="10.199999999999999" x14ac:dyDescent="0.3">
      <c r="A36" s="4"/>
      <c r="B36" s="6" t="s">
        <v>42</v>
      </c>
      <c r="C36" s="5">
        <v>621</v>
      </c>
      <c r="D36" s="1">
        <v>3036491</v>
      </c>
      <c r="E36" s="1">
        <f t="shared" si="19"/>
        <v>212554.37000000002</v>
      </c>
      <c r="F36" s="1">
        <v>131588.04999999999</v>
      </c>
      <c r="G36" s="11">
        <f t="shared" si="20"/>
        <v>4.3335563978289408E-2</v>
      </c>
      <c r="H36" s="2">
        <f t="shared" si="21"/>
        <v>-80966.320000000036</v>
      </c>
      <c r="I36" s="9"/>
      <c r="J36" s="2"/>
      <c r="K36" s="1">
        <v>155333.25000000003</v>
      </c>
      <c r="L36" s="1">
        <v>112945.84999999999</v>
      </c>
      <c r="M36" s="1">
        <v>19161.3</v>
      </c>
      <c r="N36" s="15"/>
    </row>
    <row r="37" spans="1:14" ht="10.199999999999999" x14ac:dyDescent="0.3">
      <c r="A37" s="4"/>
      <c r="B37" s="6" t="s">
        <v>22</v>
      </c>
      <c r="C37" s="5">
        <v>628</v>
      </c>
      <c r="D37" s="1">
        <v>3036460</v>
      </c>
      <c r="E37" s="1">
        <f t="shared" si="19"/>
        <v>212552.2</v>
      </c>
      <c r="F37" s="1">
        <v>116344.95999999999</v>
      </c>
      <c r="G37" s="11">
        <f t="shared" si="20"/>
        <v>3.83159863788754E-2</v>
      </c>
      <c r="H37" s="2">
        <f t="shared" si="21"/>
        <v>-96207.24000000002</v>
      </c>
      <c r="I37" s="9"/>
      <c r="J37" s="2"/>
      <c r="K37" s="1">
        <v>157182.61000000002</v>
      </c>
      <c r="L37" s="1">
        <v>105975.22</v>
      </c>
      <c r="M37" s="1">
        <v>18208.72</v>
      </c>
      <c r="N37" s="15"/>
    </row>
    <row r="38" spans="1:14" ht="10.199999999999999" x14ac:dyDescent="0.3">
      <c r="A38" s="4"/>
      <c r="B38" s="6" t="s">
        <v>56</v>
      </c>
      <c r="C38" s="5">
        <v>629</v>
      </c>
      <c r="D38" s="1">
        <v>3036423</v>
      </c>
      <c r="E38" s="1">
        <f t="shared" si="19"/>
        <v>212549.61000000002</v>
      </c>
      <c r="F38" s="1">
        <v>116020.30999999998</v>
      </c>
      <c r="G38" s="11">
        <f t="shared" si="20"/>
        <v>3.8209534705803502E-2</v>
      </c>
      <c r="H38" s="2">
        <f t="shared" si="21"/>
        <v>-96529.300000000032</v>
      </c>
      <c r="I38" s="9"/>
      <c r="J38" s="2"/>
      <c r="K38" s="1">
        <v>145400.84999999998</v>
      </c>
      <c r="L38" s="1">
        <v>86058.749999999985</v>
      </c>
      <c r="M38" s="1">
        <v>35322.550000000003</v>
      </c>
      <c r="N38" s="15"/>
    </row>
    <row r="39" spans="1:14" ht="10.199999999999999" x14ac:dyDescent="0.3">
      <c r="A39" s="4"/>
      <c r="B39" s="29" t="s">
        <v>9</v>
      </c>
      <c r="C39" s="30">
        <f>SUM(C34:C38)</f>
        <v>4047</v>
      </c>
      <c r="D39" s="31">
        <f>SUM(D34:D38)</f>
        <v>20106987</v>
      </c>
      <c r="E39" s="31">
        <f>SUM(E34:E38)</f>
        <v>1407489.09</v>
      </c>
      <c r="F39" s="34">
        <f>SUM(F34:F38)</f>
        <v>753130.83</v>
      </c>
      <c r="G39" s="37">
        <f t="shared" si="20"/>
        <v>3.7456175308612873E-2</v>
      </c>
      <c r="H39" s="2">
        <f t="shared" si="21"/>
        <v>-654358.26000000013</v>
      </c>
      <c r="I39" s="9"/>
      <c r="J39" s="2"/>
      <c r="K39" s="31">
        <f>SUM(K34:K38)</f>
        <v>1017524.0599999998</v>
      </c>
      <c r="L39" s="31">
        <f>SUM(L34:L38)</f>
        <v>708784.81999999983</v>
      </c>
      <c r="M39" s="31">
        <f>SUM(M34:M38)</f>
        <v>132241.73000000001</v>
      </c>
      <c r="N39" s="15"/>
    </row>
    <row r="40" spans="1:14" ht="10.199999999999999" x14ac:dyDescent="0.3">
      <c r="A40" s="4"/>
      <c r="B40" s="4"/>
      <c r="C40" s="3"/>
      <c r="D40" s="2"/>
      <c r="E40" s="2"/>
      <c r="F40" s="2"/>
      <c r="G40" s="9"/>
      <c r="H40" s="9"/>
      <c r="I40" s="9"/>
      <c r="J40" s="2"/>
      <c r="K40" s="2"/>
      <c r="L40" s="2"/>
      <c r="M40" s="2"/>
      <c r="N40" s="15"/>
    </row>
    <row r="41" spans="1:14" ht="10.199999999999999" x14ac:dyDescent="0.3">
      <c r="A41" s="4"/>
      <c r="B41" s="4"/>
      <c r="C41" s="3"/>
      <c r="D41" s="2"/>
      <c r="E41" s="2"/>
      <c r="F41" s="2"/>
      <c r="G41" s="9"/>
      <c r="H41" s="9"/>
      <c r="I41" s="9"/>
      <c r="J41" s="2"/>
      <c r="K41" s="2"/>
      <c r="L41" s="2"/>
      <c r="M41" s="2"/>
      <c r="N41" s="15"/>
    </row>
    <row r="42" spans="1:14" ht="10.199999999999999" x14ac:dyDescent="0.3">
      <c r="A42" s="4"/>
      <c r="B42" s="29" t="s">
        <v>28</v>
      </c>
      <c r="C42" s="30"/>
      <c r="D42" s="30"/>
      <c r="E42" s="30"/>
      <c r="F42" s="32" t="s">
        <v>0</v>
      </c>
      <c r="G42" s="38"/>
      <c r="H42" s="3"/>
      <c r="I42" s="17"/>
      <c r="J42" s="3"/>
      <c r="K42" s="30"/>
      <c r="L42" s="30"/>
      <c r="M42" s="30"/>
      <c r="N42" s="15"/>
    </row>
    <row r="43" spans="1:14" ht="20.399999999999999" x14ac:dyDescent="0.3">
      <c r="A43" s="4"/>
      <c r="B43" s="29" t="s">
        <v>10</v>
      </c>
      <c r="C43" s="30" t="s">
        <v>1</v>
      </c>
      <c r="D43" s="31" t="s">
        <v>2</v>
      </c>
      <c r="E43" s="31" t="s">
        <v>3</v>
      </c>
      <c r="F43" s="34" t="s">
        <v>4</v>
      </c>
      <c r="G43" s="35" t="s">
        <v>4</v>
      </c>
      <c r="H43" s="2"/>
      <c r="I43" s="9"/>
      <c r="J43" s="2"/>
      <c r="K43" s="31" t="s">
        <v>30</v>
      </c>
      <c r="L43" s="31" t="s">
        <v>29</v>
      </c>
      <c r="M43" s="31" t="s">
        <v>33</v>
      </c>
      <c r="N43" s="15"/>
    </row>
    <row r="44" spans="1:14" ht="10.199999999999999" x14ac:dyDescent="0.3">
      <c r="A44" s="4"/>
      <c r="B44" s="6" t="s">
        <v>57</v>
      </c>
      <c r="C44" s="5">
        <v>850</v>
      </c>
      <c r="D44" s="1">
        <v>7261919</v>
      </c>
      <c r="E44" s="1">
        <f>D44*5%</f>
        <v>363095.95</v>
      </c>
      <c r="F44" s="1">
        <v>141499</v>
      </c>
      <c r="G44" s="11">
        <f>F44/D44</f>
        <v>1.9485069993207031E-2</v>
      </c>
      <c r="H44" s="2">
        <f t="shared" ref="H44:H75" si="22">F44-E44</f>
        <v>-221596.95</v>
      </c>
      <c r="I44" s="9"/>
      <c r="J44" s="2"/>
      <c r="K44" s="1">
        <v>179575.17000000004</v>
      </c>
      <c r="L44" s="1">
        <v>135105.76</v>
      </c>
      <c r="M44" s="1">
        <v>27745.41</v>
      </c>
      <c r="N44" s="15"/>
    </row>
    <row r="45" spans="1:14" ht="10.199999999999999" x14ac:dyDescent="0.3">
      <c r="A45" s="4"/>
      <c r="B45" s="6" t="s">
        <v>46</v>
      </c>
      <c r="C45" s="5">
        <v>484</v>
      </c>
      <c r="D45" s="1">
        <v>4018454</v>
      </c>
      <c r="E45" s="1">
        <f t="shared" ref="E45:E46" si="23">D45*5%</f>
        <v>200922.7</v>
      </c>
      <c r="F45" s="1">
        <v>177538.29</v>
      </c>
      <c r="G45" s="11">
        <f t="shared" ref="G45:G47" si="24">F45/D45</f>
        <v>4.4180744634628143E-2</v>
      </c>
      <c r="H45" s="2">
        <f t="shared" si="22"/>
        <v>-23384.410000000003</v>
      </c>
      <c r="I45" s="9"/>
      <c r="J45" s="2"/>
      <c r="K45" s="1">
        <v>233072.25</v>
      </c>
      <c r="L45" s="1">
        <v>120399.29000000002</v>
      </c>
      <c r="M45" s="1">
        <v>78797.38</v>
      </c>
      <c r="N45" s="15"/>
    </row>
    <row r="46" spans="1:14" ht="10.199999999999999" x14ac:dyDescent="0.3">
      <c r="A46" s="4"/>
      <c r="B46" s="6" t="s">
        <v>58</v>
      </c>
      <c r="C46" s="5">
        <v>483</v>
      </c>
      <c r="D46" s="1">
        <v>4016701</v>
      </c>
      <c r="E46" s="1">
        <f t="shared" si="23"/>
        <v>200835.05000000002</v>
      </c>
      <c r="F46" s="1">
        <v>154790.39000000001</v>
      </c>
      <c r="G46" s="11">
        <f t="shared" si="24"/>
        <v>3.8536697155202741E-2</v>
      </c>
      <c r="H46" s="2">
        <f t="shared" si="22"/>
        <v>-46044.66</v>
      </c>
      <c r="I46" s="9"/>
      <c r="J46" s="2"/>
      <c r="K46" s="1">
        <v>243881.72999999998</v>
      </c>
      <c r="L46" s="1">
        <v>101293.26</v>
      </c>
      <c r="M46" s="1">
        <v>91262.21</v>
      </c>
      <c r="N46" s="15"/>
    </row>
    <row r="47" spans="1:14" ht="10.199999999999999" x14ac:dyDescent="0.3">
      <c r="A47" s="4"/>
      <c r="B47" s="29" t="s">
        <v>9</v>
      </c>
      <c r="C47" s="30">
        <f>SUM(C44:C46)</f>
        <v>1817</v>
      </c>
      <c r="D47" s="31">
        <f>SUM(D44:D46)</f>
        <v>15297074</v>
      </c>
      <c r="E47" s="31">
        <f>SUM(E44:E46)</f>
        <v>764853.70000000007</v>
      </c>
      <c r="F47" s="34">
        <f>SUM(F44:F46)</f>
        <v>473827.68000000005</v>
      </c>
      <c r="G47" s="37">
        <f t="shared" si="24"/>
        <v>3.0975053137613118E-2</v>
      </c>
      <c r="H47" s="2">
        <f t="shared" si="22"/>
        <v>-291026.02</v>
      </c>
      <c r="I47" s="9"/>
      <c r="J47" s="2"/>
      <c r="K47" s="31">
        <f>SUM(K44:K46)</f>
        <v>656529.15</v>
      </c>
      <c r="L47" s="31">
        <f>SUM(L44:L46)</f>
        <v>356798.31000000006</v>
      </c>
      <c r="M47" s="31">
        <f>SUM(M44:M46)</f>
        <v>197805</v>
      </c>
      <c r="N47" s="15"/>
    </row>
    <row r="48" spans="1:14" ht="10.199999999999999" x14ac:dyDescent="0.3">
      <c r="A48" s="4"/>
      <c r="B48" s="4"/>
      <c r="C48" s="3"/>
      <c r="D48" s="2"/>
      <c r="E48" s="2"/>
      <c r="F48" s="2"/>
      <c r="G48" s="9"/>
      <c r="H48" s="2"/>
      <c r="I48" s="9"/>
      <c r="J48" s="2"/>
      <c r="K48" s="2"/>
      <c r="L48" s="2"/>
      <c r="M48" s="2"/>
      <c r="N48" s="15"/>
    </row>
    <row r="49" spans="1:14" ht="10.199999999999999" x14ac:dyDescent="0.3">
      <c r="A49" s="20"/>
      <c r="G49" s="24"/>
      <c r="K49" s="22"/>
      <c r="L49" s="23"/>
      <c r="M49" s="23"/>
      <c r="N49" s="15"/>
    </row>
    <row r="50" spans="1:14" ht="10.199999999999999" x14ac:dyDescent="0.3">
      <c r="A50" s="4"/>
      <c r="B50" s="29" t="s">
        <v>19</v>
      </c>
      <c r="C50" s="30"/>
      <c r="D50" s="30"/>
      <c r="E50" s="30"/>
      <c r="F50" s="32" t="s">
        <v>0</v>
      </c>
      <c r="G50" s="33">
        <v>0.12</v>
      </c>
      <c r="H50" s="3"/>
      <c r="I50" s="19"/>
      <c r="J50" s="3"/>
      <c r="K50" s="30"/>
      <c r="L50" s="30"/>
      <c r="M50" s="30"/>
      <c r="N50" s="15"/>
    </row>
    <row r="51" spans="1:14" ht="20.399999999999999" x14ac:dyDescent="0.3">
      <c r="A51" s="4"/>
      <c r="B51" s="29" t="s">
        <v>10</v>
      </c>
      <c r="C51" s="30" t="s">
        <v>1</v>
      </c>
      <c r="D51" s="31" t="s">
        <v>2</v>
      </c>
      <c r="E51" s="31" t="s">
        <v>3</v>
      </c>
      <c r="F51" s="34" t="s">
        <v>4</v>
      </c>
      <c r="G51" s="35" t="s">
        <v>4</v>
      </c>
      <c r="H51" s="2"/>
      <c r="I51" s="9"/>
      <c r="J51" s="2"/>
      <c r="K51" s="31" t="s">
        <v>30</v>
      </c>
      <c r="L51" s="31" t="s">
        <v>29</v>
      </c>
      <c r="M51" s="31" t="s">
        <v>33</v>
      </c>
      <c r="N51" s="15"/>
    </row>
    <row r="52" spans="1:14" ht="10.199999999999999" x14ac:dyDescent="0.3">
      <c r="A52" s="4"/>
      <c r="B52" s="6" t="s">
        <v>59</v>
      </c>
      <c r="C52" s="5">
        <v>267</v>
      </c>
      <c r="D52" s="1">
        <v>906366</v>
      </c>
      <c r="E52" s="1">
        <f>D52*12%</f>
        <v>108763.92</v>
      </c>
      <c r="F52" s="1">
        <v>67006.350000000006</v>
      </c>
      <c r="G52" s="11">
        <f>F52/D52</f>
        <v>7.3928578521259627E-2</v>
      </c>
      <c r="H52" s="2">
        <f t="shared" si="22"/>
        <v>-41757.569999999992</v>
      </c>
      <c r="I52" s="9"/>
      <c r="J52" s="2"/>
      <c r="K52" s="1">
        <v>76643.47</v>
      </c>
      <c r="L52" s="1">
        <v>19378.440000000002</v>
      </c>
      <c r="M52" s="1">
        <v>1002</v>
      </c>
      <c r="N52" s="15"/>
    </row>
    <row r="53" spans="1:14" ht="10.199999999999999" x14ac:dyDescent="0.3">
      <c r="A53" s="4"/>
      <c r="B53" s="6" t="s">
        <v>18</v>
      </c>
      <c r="C53" s="5">
        <v>276</v>
      </c>
      <c r="D53" s="1">
        <v>904072</v>
      </c>
      <c r="E53" s="1">
        <f t="shared" ref="E53" si="25">D53*12%</f>
        <v>108488.64</v>
      </c>
      <c r="F53" s="1">
        <v>142348.38</v>
      </c>
      <c r="G53" s="11">
        <f t="shared" ref="G53:G54" si="26">F53/D53</f>
        <v>0.15745248166075268</v>
      </c>
      <c r="H53" s="2">
        <f t="shared" si="22"/>
        <v>33859.740000000005</v>
      </c>
      <c r="I53" s="9"/>
      <c r="J53" s="2"/>
      <c r="K53" s="1">
        <v>209392.67</v>
      </c>
      <c r="L53" s="1">
        <v>67796.7</v>
      </c>
      <c r="M53" s="1">
        <v>45412.39</v>
      </c>
      <c r="N53" s="15"/>
    </row>
    <row r="54" spans="1:14" ht="10.199999999999999" x14ac:dyDescent="0.3">
      <c r="A54" s="4"/>
      <c r="B54" s="29" t="s">
        <v>9</v>
      </c>
      <c r="C54" s="30">
        <f>SUM(C52:C53)</f>
        <v>543</v>
      </c>
      <c r="D54" s="31">
        <f>SUM(D52:D53)</f>
        <v>1810438</v>
      </c>
      <c r="E54" s="31">
        <f>SUM(E52:E53)</f>
        <v>217252.56</v>
      </c>
      <c r="F54" s="34">
        <f>SUM(F52:F53)</f>
        <v>209354.73</v>
      </c>
      <c r="G54" s="37">
        <f t="shared" si="26"/>
        <v>0.11563761366034077</v>
      </c>
      <c r="H54" s="2">
        <f t="shared" si="22"/>
        <v>-7897.8299999999872</v>
      </c>
      <c r="I54" s="9"/>
      <c r="J54" s="2"/>
      <c r="K54" s="31">
        <f>SUM(K52:K53)</f>
        <v>286036.14</v>
      </c>
      <c r="L54" s="31">
        <f>SUM(L52:L53)</f>
        <v>87175.14</v>
      </c>
      <c r="M54" s="31">
        <f>SUM(M52:M53)</f>
        <v>46414.39</v>
      </c>
      <c r="N54" s="15"/>
    </row>
    <row r="55" spans="1:14" ht="10.199999999999999" x14ac:dyDescent="0.3">
      <c r="A55" s="4"/>
      <c r="B55" s="4"/>
      <c r="C55" s="3"/>
      <c r="D55" s="2"/>
      <c r="E55" s="2"/>
      <c r="F55" s="2"/>
      <c r="G55" s="9"/>
      <c r="H55" s="2"/>
      <c r="I55" s="9"/>
      <c r="J55" s="2"/>
      <c r="K55" s="2"/>
      <c r="L55" s="2"/>
      <c r="M55" s="2"/>
      <c r="N55" s="15"/>
    </row>
    <row r="56" spans="1:14" ht="10.199999999999999" x14ac:dyDescent="0.3">
      <c r="A56" s="4"/>
      <c r="B56" s="4"/>
      <c r="C56" s="3"/>
      <c r="D56" s="2"/>
      <c r="E56" s="2"/>
      <c r="F56" s="2"/>
      <c r="G56" s="9"/>
      <c r="H56" s="2"/>
      <c r="I56" s="9"/>
      <c r="J56" s="2"/>
      <c r="K56" s="2"/>
      <c r="L56" s="2"/>
      <c r="M56" s="2"/>
      <c r="N56" s="15"/>
    </row>
    <row r="57" spans="1:14" ht="10.199999999999999" x14ac:dyDescent="0.3">
      <c r="A57" s="4"/>
      <c r="B57" s="29" t="s">
        <v>41</v>
      </c>
      <c r="C57" s="30"/>
      <c r="D57" s="30"/>
      <c r="E57" s="30"/>
      <c r="F57" s="32" t="s">
        <v>0</v>
      </c>
      <c r="G57" s="38"/>
      <c r="H57" s="3"/>
      <c r="I57" s="17"/>
      <c r="J57" s="3"/>
      <c r="K57" s="30"/>
      <c r="L57" s="30"/>
      <c r="M57" s="30"/>
      <c r="N57" s="30"/>
    </row>
    <row r="58" spans="1:14" ht="30.6" x14ac:dyDescent="0.3">
      <c r="A58" s="4"/>
      <c r="B58" s="29" t="s">
        <v>10</v>
      </c>
      <c r="C58" s="30" t="s">
        <v>1</v>
      </c>
      <c r="D58" s="31" t="s">
        <v>11</v>
      </c>
      <c r="E58" s="31" t="s">
        <v>3</v>
      </c>
      <c r="F58" s="34" t="s">
        <v>64</v>
      </c>
      <c r="G58" s="35" t="s">
        <v>8</v>
      </c>
      <c r="H58" s="2"/>
      <c r="I58" s="9"/>
      <c r="J58" s="2"/>
      <c r="K58" s="31" t="s">
        <v>30</v>
      </c>
      <c r="L58" s="31" t="s">
        <v>29</v>
      </c>
      <c r="M58" s="31" t="s">
        <v>33</v>
      </c>
      <c r="N58" s="31" t="s">
        <v>40</v>
      </c>
    </row>
    <row r="59" spans="1:14" ht="10.199999999999999" x14ac:dyDescent="0.3">
      <c r="A59" s="4"/>
      <c r="B59" s="6" t="s">
        <v>60</v>
      </c>
      <c r="C59" s="5">
        <v>510</v>
      </c>
      <c r="D59" s="1">
        <v>14333782</v>
      </c>
      <c r="E59" s="1">
        <f>D59*1%</f>
        <v>143337.82</v>
      </c>
      <c r="F59" s="1">
        <f t="shared" ref="F59:F60" si="27">K59-L59</f>
        <v>172278</v>
      </c>
      <c r="G59" s="11">
        <f>F59/D59</f>
        <v>1.2019019125587371E-2</v>
      </c>
      <c r="H59" s="2">
        <f t="shared" si="22"/>
        <v>28940.179999999993</v>
      </c>
      <c r="I59" s="9"/>
      <c r="J59" s="2"/>
      <c r="K59" s="1">
        <v>222673.99</v>
      </c>
      <c r="L59" s="1">
        <v>50395.989999999991</v>
      </c>
      <c r="M59" s="1">
        <v>119663.21</v>
      </c>
      <c r="N59" s="1">
        <f>K59-M59</f>
        <v>103010.77999999998</v>
      </c>
    </row>
    <row r="60" spans="1:14" ht="10.199999999999999" x14ac:dyDescent="0.3">
      <c r="A60" s="4"/>
      <c r="B60" s="6" t="s">
        <v>61</v>
      </c>
      <c r="C60" s="5">
        <v>517</v>
      </c>
      <c r="D60" s="1">
        <v>14306133</v>
      </c>
      <c r="E60" s="1">
        <f>D60*1%</f>
        <v>143061.33000000002</v>
      </c>
      <c r="F60" s="1">
        <f t="shared" si="27"/>
        <v>34388</v>
      </c>
      <c r="G60" s="11">
        <f t="shared" ref="G60:G61" si="28">F60/D60</f>
        <v>2.4037243327739229E-3</v>
      </c>
      <c r="H60" s="2">
        <f t="shared" si="22"/>
        <v>-108673.33000000002</v>
      </c>
      <c r="I60" s="9"/>
      <c r="J60" s="2"/>
      <c r="K60" s="1">
        <v>51349.52</v>
      </c>
      <c r="L60" s="1">
        <v>16961.52</v>
      </c>
      <c r="M60" s="1">
        <v>34388</v>
      </c>
      <c r="N60" s="1">
        <f>K60-M60</f>
        <v>16961.519999999997</v>
      </c>
    </row>
    <row r="61" spans="1:14" ht="10.199999999999999" x14ac:dyDescent="0.3">
      <c r="A61" s="4"/>
      <c r="B61" s="29" t="s">
        <v>9</v>
      </c>
      <c r="C61" s="30">
        <f>SUM(C59:C60)</f>
        <v>1027</v>
      </c>
      <c r="D61" s="31">
        <f>SUM(D59:D60)</f>
        <v>28639915</v>
      </c>
      <c r="E61" s="31">
        <f>SUM(E59:E60)</f>
        <v>286399.15000000002</v>
      </c>
      <c r="F61" s="34">
        <f>SUM(F59:F60)</f>
        <v>206666</v>
      </c>
      <c r="G61" s="37">
        <f t="shared" si="28"/>
        <v>7.2160130363515393E-3</v>
      </c>
      <c r="H61" s="2">
        <f t="shared" si="22"/>
        <v>-79733.150000000023</v>
      </c>
      <c r="I61" s="9"/>
      <c r="J61" s="2"/>
      <c r="K61" s="31">
        <f>SUM(K59:K60)</f>
        <v>274023.51</v>
      </c>
      <c r="L61" s="31">
        <f>SUM(L59:L60)</f>
        <v>67357.509999999995</v>
      </c>
      <c r="M61" s="31">
        <f>SUM(M59:M60)</f>
        <v>154051.21000000002</v>
      </c>
      <c r="N61" s="31">
        <f>SUM(N59:N60)</f>
        <v>119972.29999999999</v>
      </c>
    </row>
    <row r="62" spans="1:14" ht="10.199999999999999" x14ac:dyDescent="0.3">
      <c r="A62" s="4"/>
      <c r="B62" s="4"/>
      <c r="C62" s="3"/>
      <c r="D62" s="2"/>
      <c r="E62" s="2"/>
      <c r="F62" s="2"/>
      <c r="G62" s="9"/>
      <c r="H62" s="2"/>
      <c r="I62" s="9"/>
      <c r="J62" s="2"/>
      <c r="K62" s="2"/>
      <c r="L62" s="2"/>
      <c r="M62" s="2"/>
      <c r="N62" s="2"/>
    </row>
    <row r="63" spans="1:14" ht="10.199999999999999" x14ac:dyDescent="0.3">
      <c r="A63" s="20"/>
      <c r="G63" s="24"/>
      <c r="K63" s="22"/>
      <c r="L63" s="23"/>
      <c r="M63" s="23"/>
      <c r="N63" s="22"/>
    </row>
    <row r="64" spans="1:14" ht="10.199999999999999" x14ac:dyDescent="0.3">
      <c r="A64" s="4"/>
      <c r="B64" s="29" t="s">
        <v>65</v>
      </c>
      <c r="C64" s="30"/>
      <c r="D64" s="30"/>
      <c r="E64" s="30"/>
      <c r="F64" s="32" t="s">
        <v>0</v>
      </c>
      <c r="G64" s="38"/>
      <c r="H64" s="3"/>
      <c r="I64" s="17"/>
      <c r="J64" s="3"/>
      <c r="K64" s="30"/>
      <c r="L64" s="30"/>
      <c r="M64" s="30"/>
      <c r="N64" s="30"/>
    </row>
    <row r="65" spans="1:14" ht="30.6" x14ac:dyDescent="0.3">
      <c r="A65" s="4"/>
      <c r="B65" s="29" t="s">
        <v>10</v>
      </c>
      <c r="C65" s="30" t="s">
        <v>1</v>
      </c>
      <c r="D65" s="31" t="s">
        <v>7</v>
      </c>
      <c r="E65" s="31" t="s">
        <v>63</v>
      </c>
      <c r="F65" s="34" t="s">
        <v>64</v>
      </c>
      <c r="G65" s="35" t="s">
        <v>8</v>
      </c>
      <c r="H65" s="2"/>
      <c r="I65" s="9"/>
      <c r="J65" s="2"/>
      <c r="K65" s="31" t="s">
        <v>30</v>
      </c>
      <c r="L65" s="31" t="s">
        <v>29</v>
      </c>
      <c r="M65" s="31" t="s">
        <v>33</v>
      </c>
      <c r="N65" s="31" t="s">
        <v>40</v>
      </c>
    </row>
    <row r="66" spans="1:14" ht="10.199999999999999" x14ac:dyDescent="0.3">
      <c r="A66" s="4"/>
      <c r="B66" s="6" t="s">
        <v>44</v>
      </c>
      <c r="C66" s="5">
        <v>925</v>
      </c>
      <c r="D66" s="1">
        <v>18621969</v>
      </c>
      <c r="E66" s="1">
        <v>400000</v>
      </c>
      <c r="F66" s="1">
        <f>K66-L66</f>
        <v>137531.54000000007</v>
      </c>
      <c r="G66" s="11">
        <f t="shared" ref="G66:G75" si="29">F66/D66</f>
        <v>7.3854456529274682E-3</v>
      </c>
      <c r="H66" s="2">
        <f t="shared" si="22"/>
        <v>-262468.45999999996</v>
      </c>
      <c r="I66" s="9"/>
      <c r="J66" s="2"/>
      <c r="K66" s="1">
        <v>345457.59000000008</v>
      </c>
      <c r="L66" s="1">
        <v>207926.05000000002</v>
      </c>
      <c r="M66" s="1">
        <v>86301</v>
      </c>
      <c r="N66" s="1">
        <f t="shared" ref="N66:N74" si="30">K66-M66</f>
        <v>259156.59000000008</v>
      </c>
    </row>
    <row r="67" spans="1:14" ht="10.199999999999999" x14ac:dyDescent="0.3">
      <c r="A67" s="4"/>
      <c r="B67" s="6" t="s">
        <v>35</v>
      </c>
      <c r="C67" s="5">
        <v>922</v>
      </c>
      <c r="D67" s="1">
        <v>18621689</v>
      </c>
      <c r="E67" s="1">
        <v>400000</v>
      </c>
      <c r="F67" s="1">
        <f t="shared" ref="F67:F74" si="31">K67-L67</f>
        <v>47526.960000000079</v>
      </c>
      <c r="G67" s="11">
        <f t="shared" si="29"/>
        <v>2.552236803009656E-3</v>
      </c>
      <c r="H67" s="2">
        <f t="shared" si="22"/>
        <v>-352473.03999999992</v>
      </c>
      <c r="I67" s="9"/>
      <c r="J67" s="2"/>
      <c r="K67" s="1">
        <v>285058.5500000001</v>
      </c>
      <c r="L67" s="1">
        <v>237531.59000000003</v>
      </c>
      <c r="M67" s="1">
        <v>34630.94</v>
      </c>
      <c r="N67" s="1">
        <f t="shared" si="30"/>
        <v>250427.6100000001</v>
      </c>
    </row>
    <row r="68" spans="1:14" ht="10.199999999999999" x14ac:dyDescent="0.3">
      <c r="A68" s="4"/>
      <c r="B68" s="6" t="s">
        <v>37</v>
      </c>
      <c r="C68" s="5">
        <v>932</v>
      </c>
      <c r="D68" s="1">
        <v>18621609</v>
      </c>
      <c r="E68" s="1">
        <v>400000</v>
      </c>
      <c r="F68" s="1">
        <f t="shared" si="31"/>
        <v>176896.65999999983</v>
      </c>
      <c r="G68" s="11">
        <f t="shared" si="29"/>
        <v>9.4995368015728301E-3</v>
      </c>
      <c r="H68" s="2">
        <f t="shared" si="22"/>
        <v>-223103.34000000017</v>
      </c>
      <c r="I68" s="9"/>
      <c r="J68" s="2"/>
      <c r="K68" s="1">
        <v>361025.93999999989</v>
      </c>
      <c r="L68" s="1">
        <v>184129.28000000006</v>
      </c>
      <c r="M68" s="1">
        <v>130395.54000000001</v>
      </c>
      <c r="N68" s="1">
        <f t="shared" si="30"/>
        <v>230630.39999999988</v>
      </c>
    </row>
    <row r="69" spans="1:14" ht="10.199999999999999" x14ac:dyDescent="0.3">
      <c r="A69" s="4"/>
      <c r="B69" s="6" t="s">
        <v>38</v>
      </c>
      <c r="C69" s="5">
        <v>926</v>
      </c>
      <c r="D69" s="1">
        <v>18621593</v>
      </c>
      <c r="E69" s="1">
        <v>400000</v>
      </c>
      <c r="F69" s="1">
        <f t="shared" si="31"/>
        <v>188010.63000000003</v>
      </c>
      <c r="G69" s="11">
        <f t="shared" si="29"/>
        <v>1.0096377361485671E-2</v>
      </c>
      <c r="H69" s="2">
        <f t="shared" si="22"/>
        <v>-211989.36999999997</v>
      </c>
      <c r="I69" s="9"/>
      <c r="J69" s="2"/>
      <c r="K69" s="1">
        <v>445468.77</v>
      </c>
      <c r="L69" s="1">
        <v>257458.13999999998</v>
      </c>
      <c r="M69" s="1">
        <v>143598.55000000002</v>
      </c>
      <c r="N69" s="1">
        <f t="shared" si="30"/>
        <v>301870.21999999997</v>
      </c>
    </row>
    <row r="70" spans="1:14" ht="10.199999999999999" x14ac:dyDescent="0.3">
      <c r="A70" s="4"/>
      <c r="B70" s="6" t="s">
        <v>31</v>
      </c>
      <c r="C70" s="5">
        <v>920</v>
      </c>
      <c r="D70" s="1">
        <v>18621568</v>
      </c>
      <c r="E70" s="1">
        <v>400000</v>
      </c>
      <c r="F70" s="1">
        <f t="shared" si="31"/>
        <v>111052.5</v>
      </c>
      <c r="G70" s="11">
        <f t="shared" si="29"/>
        <v>5.9636492480117679E-3</v>
      </c>
      <c r="H70" s="2">
        <f t="shared" si="22"/>
        <v>-288947.5</v>
      </c>
      <c r="I70" s="9"/>
      <c r="J70" s="2"/>
      <c r="K70" s="1">
        <v>328423.83</v>
      </c>
      <c r="L70" s="1">
        <v>217371.33000000002</v>
      </c>
      <c r="M70" s="1">
        <v>73258.52</v>
      </c>
      <c r="N70" s="1">
        <f t="shared" si="30"/>
        <v>255165.31</v>
      </c>
    </row>
    <row r="71" spans="1:14" ht="10.199999999999999" x14ac:dyDescent="0.3">
      <c r="A71" s="4"/>
      <c r="B71" s="6" t="s">
        <v>32</v>
      </c>
      <c r="C71" s="5">
        <v>931</v>
      </c>
      <c r="D71" s="1">
        <v>18621403</v>
      </c>
      <c r="E71" s="1">
        <v>400000</v>
      </c>
      <c r="F71" s="1">
        <f t="shared" si="31"/>
        <v>9991.2900000000081</v>
      </c>
      <c r="G71" s="11">
        <f t="shared" si="29"/>
        <v>5.3654872299364388E-4</v>
      </c>
      <c r="H71" s="2">
        <f t="shared" si="22"/>
        <v>-390008.70999999996</v>
      </c>
      <c r="I71" s="9"/>
      <c r="J71" s="2"/>
      <c r="K71" s="1">
        <v>225378.54</v>
      </c>
      <c r="L71" s="1">
        <v>215387.25</v>
      </c>
      <c r="M71" s="1">
        <v>3524</v>
      </c>
      <c r="N71" s="1">
        <f t="shared" si="30"/>
        <v>221854.54</v>
      </c>
    </row>
    <row r="72" spans="1:14" ht="10.199999999999999" x14ac:dyDescent="0.3">
      <c r="A72" s="4"/>
      <c r="B72" s="6" t="s">
        <v>39</v>
      </c>
      <c r="C72" s="5">
        <v>923</v>
      </c>
      <c r="D72" s="5">
        <v>18621376</v>
      </c>
      <c r="E72" s="1">
        <v>400000</v>
      </c>
      <c r="F72" s="1">
        <f t="shared" si="31"/>
        <v>270745.62</v>
      </c>
      <c r="G72" s="11">
        <f t="shared" si="29"/>
        <v>1.4539506640110805E-2</v>
      </c>
      <c r="H72" s="2">
        <f t="shared" si="22"/>
        <v>-129254.38</v>
      </c>
      <c r="I72" s="9"/>
      <c r="J72" s="2"/>
      <c r="K72" s="5">
        <v>397075.85000000003</v>
      </c>
      <c r="L72" s="1">
        <v>126330.23000000001</v>
      </c>
      <c r="M72" s="1">
        <v>190185.65</v>
      </c>
      <c r="N72" s="5">
        <f t="shared" si="30"/>
        <v>206890.20000000004</v>
      </c>
    </row>
    <row r="73" spans="1:14" ht="10.199999999999999" x14ac:dyDescent="0.3">
      <c r="A73" s="4"/>
      <c r="B73" s="6" t="s">
        <v>27</v>
      </c>
      <c r="C73" s="5">
        <v>926</v>
      </c>
      <c r="D73" s="1">
        <v>18621376</v>
      </c>
      <c r="E73" s="1">
        <v>400000</v>
      </c>
      <c r="F73" s="1">
        <f t="shared" si="31"/>
        <v>128410.98999999999</v>
      </c>
      <c r="G73" s="11">
        <f t="shared" si="29"/>
        <v>6.8958915818036213E-3</v>
      </c>
      <c r="H73" s="2">
        <f t="shared" si="22"/>
        <v>-271589.01</v>
      </c>
      <c r="I73" s="9"/>
      <c r="J73" s="2"/>
      <c r="K73" s="1">
        <v>395725.95000000007</v>
      </c>
      <c r="L73" s="1">
        <v>267314.96000000008</v>
      </c>
      <c r="M73" s="1">
        <v>104704.95</v>
      </c>
      <c r="N73" s="1">
        <f t="shared" si="30"/>
        <v>291021.00000000006</v>
      </c>
    </row>
    <row r="74" spans="1:14" ht="10.199999999999999" x14ac:dyDescent="0.3">
      <c r="A74" s="4"/>
      <c r="B74" s="6" t="s">
        <v>62</v>
      </c>
      <c r="C74" s="5">
        <v>11</v>
      </c>
      <c r="D74" s="1">
        <v>254051</v>
      </c>
      <c r="E74" s="1">
        <v>0</v>
      </c>
      <c r="F74" s="1">
        <f t="shared" si="31"/>
        <v>152415.72</v>
      </c>
      <c r="G74" s="11">
        <f t="shared" si="29"/>
        <v>0.59994142908313686</v>
      </c>
      <c r="H74" s="2"/>
      <c r="I74" s="9"/>
      <c r="J74" s="2"/>
      <c r="K74" s="1">
        <v>207946.82</v>
      </c>
      <c r="L74" s="1">
        <v>55531.1</v>
      </c>
      <c r="M74" s="1">
        <v>126374.28</v>
      </c>
      <c r="N74" s="1">
        <f t="shared" si="30"/>
        <v>81572.540000000008</v>
      </c>
    </row>
    <row r="75" spans="1:14" ht="10.199999999999999" x14ac:dyDescent="0.3">
      <c r="A75" s="4"/>
      <c r="B75" s="29" t="s">
        <v>9</v>
      </c>
      <c r="C75" s="30">
        <f>SUM(C66:C74)</f>
        <v>7416</v>
      </c>
      <c r="D75" s="30">
        <f>SUM(D66:D74)</f>
        <v>149226634</v>
      </c>
      <c r="E75" s="30">
        <f>SUM(E66:E74)</f>
        <v>3200000</v>
      </c>
      <c r="F75" s="34">
        <f>SUM(F66:F74)</f>
        <v>1222581.9099999999</v>
      </c>
      <c r="G75" s="37">
        <f t="shared" si="29"/>
        <v>8.1927862153615277E-3</v>
      </c>
      <c r="H75" s="2">
        <f t="shared" si="22"/>
        <v>-1977418.09</v>
      </c>
      <c r="I75" s="2"/>
      <c r="J75" s="2"/>
      <c r="K75" s="30">
        <f>SUM(K66:K74)</f>
        <v>2991561.8400000003</v>
      </c>
      <c r="L75" s="30">
        <f>SUM(L66:L74)</f>
        <v>1768979.9300000002</v>
      </c>
      <c r="M75" s="31">
        <f>SUM(M66:M74)</f>
        <v>892973.43</v>
      </c>
      <c r="N75" s="30">
        <f>SUM(N66:N74)</f>
        <v>2098588.41</v>
      </c>
    </row>
    <row r="76" spans="1:14" x14ac:dyDescent="0.3">
      <c r="B76" s="14"/>
      <c r="D76" s="14"/>
      <c r="E76" s="14"/>
      <c r="F76" s="14"/>
      <c r="G76" s="14"/>
      <c r="H76" s="14"/>
      <c r="I76" s="14"/>
      <c r="J76" s="3"/>
      <c r="K76" s="15"/>
      <c r="L76" s="15"/>
    </row>
    <row r="77" spans="1:14" x14ac:dyDescent="0.3">
      <c r="B77" s="14"/>
      <c r="D77" s="14"/>
      <c r="E77" s="14"/>
      <c r="F77" s="14"/>
      <c r="G77" s="14"/>
      <c r="H77" s="14"/>
      <c r="I77" s="14"/>
      <c r="J77" s="3"/>
      <c r="K77" s="15"/>
      <c r="L77" s="15"/>
    </row>
    <row r="78" spans="1:14" x14ac:dyDescent="0.3">
      <c r="N78" s="39">
        <f>N75+N61</f>
        <v>2218560.71</v>
      </c>
    </row>
  </sheetData>
  <pageMargins left="0.25" right="0.25" top="0.75" bottom="0.75" header="0.3" footer="0.3"/>
  <pageSetup paperSize="9" scale="88" orientation="landscape" r:id="rId1"/>
  <headerFooter>
    <oddHeader>&amp;L&amp;"Tahoma,Regular"&amp;12&amp;K0000FFInternal&amp;C&amp;"Tahoma,Regular"&amp;12&amp;K00C000Public</oddHeader>
    <oddFooter>&amp;L&amp;"Tahoma,Regular"&amp;10&amp;K000000This message is marked &amp;K0000FFInternal&amp;K000000. Do not distribute to third parties without manager approval.</oddFooter>
    <evenHeader>&amp;L&amp;"Tahoma,Regular"&amp;12&amp;K0000FFInternal&amp;C&amp;"Tahoma,Regular"&amp;12&amp;K00C000Public</evenHeader>
    <evenFooter>&amp;L&amp;"Tahoma,Regular"&amp;10&amp;K000000This message is marked &amp;K0000FFInternal&amp;K000000. Do not distribute to third parties without manager approval.</evenFooter>
    <firstHeader>&amp;L&amp;"Tahoma,Regular"&amp;12&amp;K0000FFInternal&amp;C&amp;"Tahoma,Regular"&amp;12&amp;K00C000Public</firstHeader>
    <firstFooter>&amp;L&amp;"Tahoma,Regular"&amp;10&amp;K000000This message is marked &amp;K0000FFInternal&amp;K000000. Do not distribute to third parties without manager approval.</firstFooter>
  </headerFooter>
  <rowBreaks count="1" manualBreakCount="1">
    <brk id="48" min="1" max="10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65ad6c44-877d-4605-b4fa-a0dc2deffa9f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185F2D7A-0205-481C-918F-8AA8BFC84FF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Retail (2)</vt:lpstr>
      <vt:lpstr>'Retail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Sayed Ahmed</dc:creator>
  <cp:lastModifiedBy>Mahmoud Sayed Ahmed</cp:lastModifiedBy>
  <cp:lastPrinted>2025-04-30T07:08:55Z</cp:lastPrinted>
  <dcterms:created xsi:type="dcterms:W3CDTF">2024-03-17T10:37:54Z</dcterms:created>
  <dcterms:modified xsi:type="dcterms:W3CDTF">2026-04-23T06:11:15Z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95f5eb3e-0115-443f-9a04-5811dfb84917</vt:lpwstr>
  </property>
  <property fmtid="{D5CDD505-2E9C-101B-9397-08002B2CF9AE}" pid="3" name="bjSaver">
    <vt:lpwstr>0cpwtr55+5BCTXpc4dr8E1690UY/LZd7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policy="65ad6c44-877d-4605-b4fa-a0dc2deffa9f"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Public</vt:lpwstr>
  </property>
  <property fmtid="{D5CDD505-2E9C-101B-9397-08002B2CF9AE}" pid="7" name="bjClsUserRVM">
    <vt:lpwstr>[]</vt:lpwstr>
  </property>
  <property fmtid="{D5CDD505-2E9C-101B-9397-08002B2CF9AE}" pid="8" name="bjCentreHeaderLabel-first">
    <vt:lpwstr>&amp;"Tahoma,Regular"&amp;12&amp;K00C000Public</vt:lpwstr>
  </property>
  <property fmtid="{D5CDD505-2E9C-101B-9397-08002B2CF9AE}" pid="9" name="bjCentreHeaderLabel-even">
    <vt:lpwstr>&amp;"Tahoma,Regular"&amp;12&amp;K00C000Public</vt:lpwstr>
  </property>
  <property fmtid="{D5CDD505-2E9C-101B-9397-08002B2CF9AE}" pid="10" name="bjCentreHeaderLabel">
    <vt:lpwstr>&amp;"Tahoma,Regular"&amp;12&amp;K00C000Public</vt:lpwstr>
  </property>
  <property fmtid="{D5CDD505-2E9C-101B-9397-08002B2CF9AE}" pid="11" name="bjLeftHeaderLabel-first">
    <vt:lpwstr>&amp;"Tahoma,Regular"&amp;12&amp;K00C000Public</vt:lpwstr>
  </property>
  <property fmtid="{D5CDD505-2E9C-101B-9397-08002B2CF9AE}" pid="12" name="bjLeftHeaderLabel-even">
    <vt:lpwstr>&amp;"Tahoma,Regular"&amp;12&amp;K00C000Public</vt:lpwstr>
  </property>
  <property fmtid="{D5CDD505-2E9C-101B-9397-08002B2CF9AE}" pid="13" name="bjLeftHeaderLabel">
    <vt:lpwstr>&amp;"Tahoma,Regular"&amp;12&amp;K00C000Public</vt:lpwstr>
  </property>
</Properties>
</file>