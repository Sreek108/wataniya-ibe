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hmoud\Desktop\"/>
    </mc:Choice>
  </mc:AlternateContent>
  <xr:revisionPtr revIDLastSave="0" documentId="8_{6AAA69EE-E466-4C10-83A6-0E28FD042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 (2)" sheetId="2" r:id="rId1"/>
  </sheets>
  <definedNames>
    <definedName name="_xlnm._FilterDatabase" localSheetId="0" hidden="1">'Retail (2)'!$A$90:$M$90</definedName>
    <definedName name="_xlnm.Print_Area" localSheetId="0">'Retail (2)'!$B$1:$I$80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4" i="2" l="1"/>
  <c r="K84" i="2"/>
  <c r="C101" i="2"/>
  <c r="D101" i="2"/>
  <c r="E101" i="2"/>
  <c r="C79" i="2"/>
  <c r="D79" i="2"/>
  <c r="C72" i="2"/>
  <c r="D72" i="2"/>
  <c r="E70" i="2"/>
  <c r="E71" i="2"/>
  <c r="C65" i="2"/>
  <c r="D65" i="2"/>
  <c r="G63" i="2"/>
  <c r="G64" i="2"/>
  <c r="E63" i="2"/>
  <c r="E64" i="2"/>
  <c r="C53" i="2"/>
  <c r="D53" i="2"/>
  <c r="G100" i="2"/>
  <c r="G99" i="2"/>
  <c r="G98" i="2"/>
  <c r="G97" i="2"/>
  <c r="G96" i="2"/>
  <c r="G95" i="2"/>
  <c r="G94" i="2"/>
  <c r="G93" i="2"/>
  <c r="G92" i="2"/>
  <c r="G78" i="2"/>
  <c r="G71" i="2"/>
  <c r="G48" i="2"/>
  <c r="G49" i="2"/>
  <c r="G50" i="2"/>
  <c r="G51" i="2"/>
  <c r="G52" i="2"/>
  <c r="E48" i="2"/>
  <c r="E49" i="2"/>
  <c r="E50" i="2"/>
  <c r="E51" i="2"/>
  <c r="E52" i="2"/>
  <c r="C38" i="2"/>
  <c r="D38" i="2"/>
  <c r="C23" i="2"/>
  <c r="D23" i="2"/>
  <c r="E19" i="2"/>
  <c r="E20" i="2"/>
  <c r="E21" i="2"/>
  <c r="E22" i="2"/>
  <c r="E33" i="2"/>
  <c r="E34" i="2"/>
  <c r="E35" i="2"/>
  <c r="E36" i="2"/>
  <c r="E37" i="2"/>
  <c r="F37" i="2"/>
  <c r="H37" i="2" s="1"/>
  <c r="F36" i="2"/>
  <c r="H36" i="2" s="1"/>
  <c r="I35" i="2"/>
  <c r="F34" i="2"/>
  <c r="H34" i="2" s="1"/>
  <c r="F33" i="2"/>
  <c r="H33" i="2" s="1"/>
  <c r="I22" i="2"/>
  <c r="I21" i="2"/>
  <c r="I20" i="2"/>
  <c r="I19" i="2"/>
  <c r="K97" i="2" l="1"/>
  <c r="K95" i="2"/>
  <c r="K93" i="2"/>
  <c r="K96" i="2"/>
  <c r="K85" i="2"/>
  <c r="K86" i="2" s="1"/>
  <c r="K91" i="2"/>
  <c r="K92" i="2"/>
  <c r="K98" i="2"/>
  <c r="K99" i="2"/>
  <c r="K100" i="2"/>
  <c r="J101" i="2"/>
  <c r="F35" i="2"/>
  <c r="H35" i="2" s="1"/>
  <c r="G23" i="2"/>
  <c r="I23" i="2" s="1"/>
  <c r="F65" i="2"/>
  <c r="G65" i="2" s="1"/>
  <c r="F53" i="2"/>
  <c r="G53" i="2" s="1"/>
  <c r="I33" i="2"/>
  <c r="H101" i="2"/>
  <c r="I101" i="2"/>
  <c r="F101" i="2"/>
  <c r="G101" i="2" s="1"/>
  <c r="I34" i="2"/>
  <c r="F72" i="2"/>
  <c r="G72" i="2" s="1"/>
  <c r="F79" i="2"/>
  <c r="G79" i="2" s="1"/>
  <c r="G38" i="2"/>
  <c r="I38" i="2" s="1"/>
  <c r="I36" i="2"/>
  <c r="I37" i="2"/>
  <c r="G70" i="2"/>
  <c r="I10" i="2"/>
  <c r="E85" i="2"/>
  <c r="E84" i="2"/>
  <c r="F21" i="2"/>
  <c r="H21" i="2" s="1"/>
  <c r="E10" i="2"/>
  <c r="K101" i="2" l="1"/>
  <c r="F22" i="2"/>
  <c r="H22" i="2" s="1"/>
  <c r="F19" i="2"/>
  <c r="H19" i="2" s="1"/>
  <c r="F20" i="2"/>
  <c r="H20" i="2" s="1"/>
  <c r="F10" i="2"/>
  <c r="G47" i="2"/>
  <c r="H10" i="2" l="1"/>
  <c r="G91" i="2" l="1"/>
  <c r="E69" i="2"/>
  <c r="E72" i="2" s="1"/>
  <c r="G85" i="2"/>
  <c r="E78" i="2"/>
  <c r="E77" i="2"/>
  <c r="E79" i="2" s="1"/>
  <c r="G62" i="2"/>
  <c r="E62" i="2"/>
  <c r="E65" i="2" s="1"/>
  <c r="E47" i="2"/>
  <c r="E53" i="2" s="1"/>
  <c r="I32" i="2"/>
  <c r="E32" i="2"/>
  <c r="E38" i="2" s="1"/>
  <c r="E18" i="2"/>
  <c r="E23" i="2" s="1"/>
  <c r="E5" i="2"/>
  <c r="F32" i="2" l="1"/>
  <c r="F38" i="2" s="1"/>
  <c r="H38" i="2" s="1"/>
  <c r="G84" i="2"/>
  <c r="G77" i="2"/>
  <c r="G69" i="2"/>
  <c r="I18" i="2"/>
  <c r="F18" i="2"/>
  <c r="F23" i="2" s="1"/>
  <c r="H23" i="2" s="1"/>
  <c r="H18" i="2" l="1"/>
  <c r="H32" i="2"/>
  <c r="F5" i="2" l="1"/>
  <c r="H5" i="2" s="1"/>
  <c r="I5" i="2"/>
</calcChain>
</file>

<file path=xl/sharedStrings.xml><?xml version="1.0" encoding="utf-8"?>
<sst xmlns="http://schemas.openxmlformats.org/spreadsheetml/2006/main" count="184" uniqueCount="76">
  <si>
    <t>Achievement</t>
  </si>
  <si>
    <t xml:space="preserve">Count </t>
  </si>
  <si>
    <t>Overdue Amount</t>
  </si>
  <si>
    <t>Target Amount</t>
  </si>
  <si>
    <t>Collected Amount from overdue</t>
  </si>
  <si>
    <t>TOTAL_PRIN_REM_AMT</t>
  </si>
  <si>
    <t>Target</t>
  </si>
  <si>
    <t xml:space="preserve"> Roll back  </t>
  </si>
  <si>
    <t>OUSTSTANING_AMT</t>
  </si>
  <si>
    <t xml:space="preserve">Achievement amount With discount amount </t>
  </si>
  <si>
    <t>Achievement %</t>
  </si>
  <si>
    <t>Grand Total</t>
  </si>
  <si>
    <t>Collected Amount</t>
  </si>
  <si>
    <t>Agent Name</t>
  </si>
  <si>
    <t>Supervisor</t>
  </si>
  <si>
    <t>O/S</t>
  </si>
  <si>
    <t xml:space="preserve">Rollforward </t>
  </si>
  <si>
    <t>Rollforward %</t>
  </si>
  <si>
    <t xml:space="preserve"> Roll back  %</t>
  </si>
  <si>
    <t>Stable</t>
  </si>
  <si>
    <t xml:space="preserve">Amal hamoud Alotaibi </t>
  </si>
  <si>
    <t>Ahmed Alshammari</t>
  </si>
  <si>
    <t xml:space="preserve">PKT-1 (1 - 30 DPD) Rollforward 10% </t>
  </si>
  <si>
    <t>A- 1-30</t>
  </si>
  <si>
    <t>Sheetal</t>
  </si>
  <si>
    <t>URDU 31-450- Collected Amount 12%</t>
  </si>
  <si>
    <t xml:space="preserve">91-450 - Non Starter Collected Amount 3.5%- </t>
  </si>
  <si>
    <t>PKT-2 (31 - 60 DPD)  Rollforward 25 %</t>
  </si>
  <si>
    <t>NPA 181 - 360 DPD - Collected Amount - 7%</t>
  </si>
  <si>
    <t>Ibrahim Abyan</t>
  </si>
  <si>
    <t>Hala Salem Alqahtani</t>
  </si>
  <si>
    <t>PKT-3 (61 - 90 DPD) Rollforward 30%</t>
  </si>
  <si>
    <t xml:space="preserve"> NPA  91- 180 DPD  Roll back 25 %</t>
  </si>
  <si>
    <t>Samar Fahad Alharbi</t>
  </si>
  <si>
    <t>Manal Sami Almusaad</t>
  </si>
  <si>
    <t xml:space="preserve">Sheetal - Write off </t>
  </si>
  <si>
    <t>Nawaf Suliman Aldayel</t>
  </si>
  <si>
    <t>NPA 361 - 450 DPD - Collected Amount - 5%</t>
  </si>
  <si>
    <t>Collection by court</t>
  </si>
  <si>
    <t>Total collection</t>
  </si>
  <si>
    <t>Fahad Abdulaziz Alateeq</t>
  </si>
  <si>
    <t>Trad Khaled Alharbi</t>
  </si>
  <si>
    <t>Discont amount</t>
  </si>
  <si>
    <t>Hajir Obaid Al-Otaibi </t>
  </si>
  <si>
    <t>Alanoud Ibrahim Almaslmani</t>
  </si>
  <si>
    <t>Alanoud Saud Alotaibi</t>
  </si>
  <si>
    <t>Fahad Laili Obaid AlMarei</t>
  </si>
  <si>
    <t>Atheer Alhwasheil</t>
  </si>
  <si>
    <t>Mishaal Suleiman Alsaeed</t>
  </si>
  <si>
    <t>Abdulrahman Al Otaibi</t>
  </si>
  <si>
    <t>khalid Aytim Alanazi</t>
  </si>
  <si>
    <t>Suleiman Alhodhaif</t>
  </si>
  <si>
    <t xml:space="preserve">Write off  - Target 350K Recovery  </t>
  </si>
  <si>
    <t>Retail Target Feb - 2026</t>
  </si>
  <si>
    <t>Net collection</t>
  </si>
  <si>
    <t>Urdu Write Off + 450 - Target 1 % Recovery</t>
  </si>
  <si>
    <t xml:space="preserve">IVR PKT-2 </t>
  </si>
  <si>
    <t>Faez Abdualh Satem Mohamed</t>
  </si>
  <si>
    <t>Fozyah Abdulaziz Alkhulifi</t>
  </si>
  <si>
    <t>Sawt - PKT - 3</t>
  </si>
  <si>
    <t>Sarja - PKT - 3</t>
  </si>
  <si>
    <t>Amjd Ibrahim Al-Hazmi</t>
  </si>
  <si>
    <t>Sarja - NPA  91- 180</t>
  </si>
  <si>
    <t>Sawt - NPA  91- 180</t>
  </si>
  <si>
    <t>Mohammed Aedh Alharthi</t>
  </si>
  <si>
    <t>Sarja - NPA  - 181 - 360</t>
  </si>
  <si>
    <t>Sawt - NPA  - 181 - 360</t>
  </si>
  <si>
    <t>Sultan Fahad Alinzee</t>
  </si>
  <si>
    <t>Sarja - NPA  - 361 - 450</t>
  </si>
  <si>
    <t>Sawt - NPA  - 361 - 450</t>
  </si>
  <si>
    <t>Sarja - NPA Non Starter - 91-450</t>
  </si>
  <si>
    <t>Sawt - NPA Non Starter - 91-450</t>
  </si>
  <si>
    <t>IVR - English - 31 - 450</t>
  </si>
  <si>
    <t>IVR -English Write off</t>
  </si>
  <si>
    <t>Sawt - Write Off + 450</t>
  </si>
  <si>
    <t>Sarja - Write Off + 450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</si>
</sst>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9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165" fontId="2" fillId="4" borderId="6" xfId="1" applyNumberFormat="1" applyFont="1" applyFill="1" applyBorder="1" applyAlignment="1">
      <alignment horizontal="center" vertical="center" wrapText="1"/>
    </xf>
    <xf numFmtId="165" fontId="2" fillId="2" borderId="5" xfId="1" applyNumberFormat="1" applyFont="1" applyFill="1" applyBorder="1" applyAlignment="1">
      <alignment horizontal="left" vertical="center"/>
    </xf>
    <xf numFmtId="165" fontId="2" fillId="0" borderId="0" xfId="1" applyNumberFormat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2" fillId="2" borderId="6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/>
    </xf>
    <xf numFmtId="165" fontId="2" fillId="0" borderId="4" xfId="1" applyNumberFormat="1" applyFont="1" applyFill="1" applyBorder="1" applyAlignment="1">
      <alignment horizontal="left" vertical="center"/>
    </xf>
    <xf numFmtId="165" fontId="2" fillId="0" borderId="0" xfId="1" applyNumberFormat="1" applyFont="1" applyFill="1" applyBorder="1" applyAlignment="1">
      <alignment horizontal="left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left" vertical="center"/>
    </xf>
    <xf numFmtId="165" fontId="2" fillId="2" borderId="4" xfId="1" applyNumberFormat="1" applyFont="1" applyFill="1" applyBorder="1" applyAlignment="1">
      <alignment horizontal="left" vertical="center"/>
    </xf>
    <xf numFmtId="165" fontId="2" fillId="0" borderId="3" xfId="1" applyNumberFormat="1" applyFont="1" applyFill="1" applyBorder="1" applyAlignment="1">
      <alignment horizontal="center" vertical="center"/>
    </xf>
    <xf numFmtId="165" fontId="2" fillId="2" borderId="15" xfId="1" applyNumberFormat="1" applyFont="1" applyFill="1" applyBorder="1" applyAlignment="1">
      <alignment horizontal="left" vertical="center"/>
    </xf>
    <xf numFmtId="165" fontId="2" fillId="2" borderId="16" xfId="1" applyNumberFormat="1" applyFont="1" applyFill="1" applyBorder="1" applyAlignment="1">
      <alignment horizontal="center" vertical="center" wrapText="1"/>
    </xf>
    <xf numFmtId="165" fontId="2" fillId="4" borderId="16" xfId="1" applyNumberFormat="1" applyFont="1" applyFill="1" applyBorder="1" applyAlignment="1">
      <alignment horizontal="center" vertical="center" wrapText="1"/>
    </xf>
    <xf numFmtId="165" fontId="2" fillId="2" borderId="16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left" vertical="center"/>
    </xf>
    <xf numFmtId="165" fontId="2" fillId="0" borderId="6" xfId="1" applyNumberFormat="1" applyFont="1" applyFill="1" applyBorder="1" applyAlignment="1">
      <alignment horizontal="center" vertical="center"/>
    </xf>
    <xf numFmtId="164" fontId="2" fillId="2" borderId="3" xfId="2" applyNumberFormat="1" applyFont="1" applyFill="1" applyBorder="1" applyAlignment="1">
      <alignment horizontal="center" vertical="center"/>
    </xf>
    <xf numFmtId="164" fontId="2" fillId="4" borderId="8" xfId="2" applyNumberFormat="1" applyFont="1" applyFill="1" applyBorder="1" applyAlignment="1">
      <alignment horizontal="center" vertical="center" wrapText="1"/>
    </xf>
    <xf numFmtId="165" fontId="2" fillId="3" borderId="3" xfId="1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9" fontId="2" fillId="3" borderId="10" xfId="0" applyNumberFormat="1" applyFont="1" applyFill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 wrapText="1"/>
    </xf>
    <xf numFmtId="164" fontId="2" fillId="0" borderId="0" xfId="2" applyNumberFormat="1" applyFont="1" applyFill="1" applyBorder="1" applyAlignment="1">
      <alignment horizontal="center" vertical="center" wrapText="1"/>
    </xf>
    <xf numFmtId="9" fontId="2" fillId="0" borderId="14" xfId="2" applyFont="1" applyFill="1" applyBorder="1" applyAlignment="1">
      <alignment horizontal="center" vertical="center" wrapText="1"/>
    </xf>
    <xf numFmtId="9" fontId="2" fillId="4" borderId="17" xfId="2" applyFont="1" applyFill="1" applyBorder="1" applyAlignment="1">
      <alignment horizontal="center" vertical="center" wrapText="1"/>
    </xf>
    <xf numFmtId="164" fontId="2" fillId="0" borderId="13" xfId="2" applyNumberFormat="1" applyFont="1" applyFill="1" applyBorder="1" applyAlignment="1">
      <alignment horizontal="center" vertical="center" wrapText="1"/>
    </xf>
    <xf numFmtId="9" fontId="3" fillId="0" borderId="1" xfId="2" applyFont="1" applyFill="1" applyBorder="1" applyAlignment="1">
      <alignment horizontal="center" vertical="center" wrapText="1"/>
    </xf>
    <xf numFmtId="9" fontId="3" fillId="0" borderId="14" xfId="2" applyFont="1" applyFill="1" applyBorder="1" applyAlignment="1">
      <alignment horizontal="center" vertical="center" wrapText="1"/>
    </xf>
    <xf numFmtId="164" fontId="3" fillId="0" borderId="8" xfId="2" applyNumberFormat="1" applyFont="1" applyFill="1" applyBorder="1" applyAlignment="1">
      <alignment horizontal="center" vertical="center" wrapText="1"/>
    </xf>
    <xf numFmtId="164" fontId="3" fillId="0" borderId="1" xfId="2" applyNumberFormat="1" applyFont="1" applyFill="1" applyBorder="1" applyAlignment="1">
      <alignment horizontal="center" vertical="center" wrapText="1"/>
    </xf>
    <xf numFmtId="164" fontId="3" fillId="4" borderId="9" xfId="2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165" fontId="2" fillId="2" borderId="6" xfId="1" applyNumberFormat="1" applyFont="1" applyFill="1" applyBorder="1" applyAlignment="1">
      <alignment horizontal="center" vertical="center"/>
    </xf>
    <xf numFmtId="165" fontId="2" fillId="4" borderId="18" xfId="1" applyNumberFormat="1" applyFont="1" applyFill="1" applyBorder="1" applyAlignment="1">
      <alignment horizontal="center" vertical="center" wrapText="1"/>
    </xf>
    <xf numFmtId="165" fontId="2" fillId="0" borderId="13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 wrapText="1"/>
    </xf>
    <xf numFmtId="165" fontId="2" fillId="6" borderId="3" xfId="1" applyNumberFormat="1" applyFont="1" applyFill="1" applyBorder="1" applyAlignment="1">
      <alignment horizontal="center" vertical="center"/>
    </xf>
    <xf numFmtId="164" fontId="2" fillId="6" borderId="3" xfId="2" applyNumberFormat="1" applyFont="1" applyFill="1" applyBorder="1" applyAlignment="1">
      <alignment horizontal="center" vertical="center"/>
    </xf>
    <xf numFmtId="164" fontId="2" fillId="6" borderId="10" xfId="2" applyNumberFormat="1" applyFont="1" applyFill="1" applyBorder="1" applyAlignment="1">
      <alignment horizontal="center" vertical="center"/>
    </xf>
    <xf numFmtId="165" fontId="2" fillId="6" borderId="6" xfId="1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165" fontId="2" fillId="2" borderId="12" xfId="1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" fontId="2" fillId="0" borderId="0" xfId="0" applyNumberFormat="1" applyFont="1" applyAlignment="1">
      <alignment horizontal="center" vertical="center"/>
    </xf>
    <xf numFmtId="165" fontId="2" fillId="5" borderId="1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2" fillId="5" borderId="2" xfId="1" applyNumberFormat="1" applyFont="1" applyFill="1" applyBorder="1" applyAlignment="1">
      <alignment horizontal="left" vertical="center"/>
    </xf>
    <xf numFmtId="165" fontId="2" fillId="6" borderId="3" xfId="1" applyNumberFormat="1" applyFont="1" applyFill="1" applyBorder="1" applyAlignment="1">
      <alignment horizontal="left" vertical="center"/>
    </xf>
    <xf numFmtId="165" fontId="2" fillId="6" borderId="6" xfId="1" applyNumberFormat="1" applyFont="1" applyFill="1" applyBorder="1" applyAlignment="1">
      <alignment horizontal="left" vertical="center"/>
    </xf>
    <xf numFmtId="9" fontId="2" fillId="0" borderId="0" xfId="2" applyFont="1" applyFill="1" applyBorder="1" applyAlignment="1">
      <alignment horizontal="center" vertical="center"/>
    </xf>
    <xf numFmtId="165" fontId="2" fillId="0" borderId="3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2" fillId="0" borderId="6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4" fontId="4" fillId="0" borderId="0" xfId="2" applyNumberFormat="1" applyFont="1" applyAlignment="1">
      <alignment horizontal="center" vertical="center" wrapText="1"/>
    </xf>
    <xf numFmtId="165" fontId="4" fillId="0" borderId="1" xfId="1" applyNumberFormat="1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9" fontId="3" fillId="4" borderId="17" xfId="2" applyFont="1" applyFill="1" applyBorder="1" applyAlignment="1">
      <alignment horizontal="center" vertical="center" wrapText="1"/>
    </xf>
    <xf numFmtId="164" fontId="3" fillId="4" borderId="17" xfId="2" applyNumberFormat="1" applyFont="1" applyFill="1" applyBorder="1" applyAlignment="1">
      <alignment horizontal="center" vertical="center" wrapText="1"/>
    </xf>
    <xf numFmtId="164" fontId="2" fillId="0" borderId="3" xfId="2" applyNumberFormat="1" applyFont="1" applyFill="1" applyBorder="1" applyAlignment="1">
      <alignment horizontal="center" vertical="center"/>
    </xf>
    <xf numFmtId="164" fontId="2" fillId="0" borderId="10" xfId="2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5" fontId="2" fillId="7" borderId="3" xfId="1" applyNumberFormat="1" applyFont="1" applyFill="1" applyBorder="1" applyAlignment="1">
      <alignment horizontal="center" vertical="center"/>
    </xf>
    <xf numFmtId="165" fontId="2" fillId="7" borderId="1" xfId="1" applyNumberFormat="1" applyFont="1" applyFill="1" applyBorder="1" applyAlignment="1">
      <alignment horizontal="center" vertical="center"/>
    </xf>
    <xf numFmtId="165" fontId="2" fillId="7" borderId="16" xfId="1" applyNumberFormat="1" applyFont="1" applyFill="1" applyBorder="1" applyAlignment="1">
      <alignment horizontal="center" vertical="center" wrapText="1"/>
    </xf>
    <xf numFmtId="165" fontId="2" fillId="7" borderId="6" xfId="1" applyNumberFormat="1" applyFont="1" applyFill="1" applyBorder="1" applyAlignment="1">
      <alignment horizontal="center" vertical="center" wrapText="1"/>
    </xf>
    <xf numFmtId="165" fontId="2" fillId="7" borderId="1" xfId="1" applyNumberFormat="1" applyFont="1" applyFill="1" applyBorder="1" applyAlignment="1">
      <alignment horizontal="center" vertical="center" wrapText="1"/>
    </xf>
    <xf numFmtId="164" fontId="2" fillId="4" borderId="19" xfId="2" applyNumberFormat="1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6" fillId="0" borderId="0" xfId="0" applyFont="1"/>
    <xf numFmtId="165" fontId="4" fillId="0" borderId="1" xfId="1" applyNumberFormat="1" applyFont="1" applyFill="1" applyBorder="1" applyAlignment="1">
      <alignment horizontal="left" vertical="center"/>
    </xf>
    <xf numFmtId="165" fontId="4" fillId="0" borderId="1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0" fontId="3" fillId="0" borderId="1" xfId="2" applyNumberFormat="1" applyFont="1" applyFill="1" applyBorder="1" applyAlignment="1">
      <alignment horizontal="center" vertical="center" wrapText="1"/>
    </xf>
    <xf numFmtId="165" fontId="2" fillId="0" borderId="21" xfId="1" applyNumberFormat="1" applyFont="1" applyFill="1" applyBorder="1" applyAlignment="1">
      <alignment horizontal="left" vertical="center"/>
    </xf>
    <xf numFmtId="165" fontId="2" fillId="0" borderId="22" xfId="1" applyNumberFormat="1" applyFont="1" applyFill="1" applyBorder="1" applyAlignment="1">
      <alignment horizontal="left" vertical="center"/>
    </xf>
    <xf numFmtId="165" fontId="2" fillId="0" borderId="18" xfId="1" applyNumberFormat="1" applyFont="1" applyFill="1" applyBorder="1" applyAlignment="1">
      <alignment horizontal="center" vertical="center"/>
    </xf>
    <xf numFmtId="165" fontId="2" fillId="0" borderId="18" xfId="1" applyNumberFormat="1" applyFont="1" applyFill="1" applyBorder="1" applyAlignment="1">
      <alignment horizontal="center" vertical="center" wrapText="1"/>
    </xf>
    <xf numFmtId="165" fontId="2" fillId="0" borderId="24" xfId="1" applyNumberFormat="1" applyFont="1" applyFill="1" applyBorder="1" applyAlignment="1">
      <alignment horizontal="left" vertical="center"/>
    </xf>
    <xf numFmtId="165" fontId="2" fillId="0" borderId="25" xfId="1" applyNumberFormat="1" applyFont="1" applyFill="1" applyBorder="1" applyAlignment="1">
      <alignment horizontal="center" vertical="center"/>
    </xf>
    <xf numFmtId="165" fontId="2" fillId="0" borderId="25" xfId="1" applyNumberFormat="1" applyFont="1" applyFill="1" applyBorder="1" applyAlignment="1">
      <alignment horizontal="center" vertical="center" wrapText="1"/>
    </xf>
    <xf numFmtId="165" fontId="4" fillId="0" borderId="21" xfId="1" applyNumberFormat="1" applyFont="1" applyFill="1" applyBorder="1" applyAlignment="1">
      <alignment horizontal="left" vertical="center"/>
    </xf>
    <xf numFmtId="165" fontId="4" fillId="0" borderId="18" xfId="1" applyNumberFormat="1" applyFont="1" applyFill="1" applyBorder="1" applyAlignment="1">
      <alignment horizontal="center" vertical="center"/>
    </xf>
    <xf numFmtId="9" fontId="7" fillId="8" borderId="0" xfId="2" applyFont="1" applyFill="1" applyBorder="1" applyAlignment="1">
      <alignment horizontal="center" vertical="center"/>
    </xf>
    <xf numFmtId="165" fontId="7" fillId="8" borderId="0" xfId="1" applyNumberFormat="1" applyFont="1" applyFill="1" applyAlignment="1">
      <alignment horizontal="center" vertical="center"/>
    </xf>
    <xf numFmtId="164" fontId="8" fillId="0" borderId="8" xfId="2" applyNumberFormat="1" applyFont="1" applyFill="1" applyBorder="1" applyAlignment="1">
      <alignment horizontal="center" vertical="center" wrapText="1"/>
    </xf>
    <xf numFmtId="164" fontId="8" fillId="0" borderId="1" xfId="2" applyNumberFormat="1" applyFont="1" applyFill="1" applyBorder="1" applyAlignment="1">
      <alignment horizontal="center" vertical="center" wrapText="1"/>
    </xf>
    <xf numFmtId="164" fontId="8" fillId="4" borderId="17" xfId="2" applyNumberFormat="1" applyFont="1" applyFill="1" applyBorder="1" applyAlignment="1">
      <alignment horizontal="center" vertical="center" wrapText="1"/>
    </xf>
    <xf numFmtId="164" fontId="8" fillId="0" borderId="26" xfId="2" applyNumberFormat="1" applyFont="1" applyFill="1" applyBorder="1" applyAlignment="1">
      <alignment horizontal="center" vertical="center" wrapText="1"/>
    </xf>
    <xf numFmtId="164" fontId="8" fillId="0" borderId="23" xfId="2" applyNumberFormat="1" applyFont="1" applyFill="1" applyBorder="1" applyAlignment="1">
      <alignment horizontal="center" vertical="center" wrapText="1"/>
    </xf>
    <xf numFmtId="164" fontId="8" fillId="4" borderId="9" xfId="2" applyNumberFormat="1" applyFont="1" applyFill="1" applyBorder="1" applyAlignment="1">
      <alignment horizontal="center" vertical="center" wrapText="1"/>
    </xf>
    <xf numFmtId="164" fontId="8" fillId="4" borderId="16" xfId="2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AAAA-02AA-4B23-B8D4-1492661E783E}">
  <sheetPr>
    <pageSetUpPr autoPageBreaks="0"/>
  </sheetPr>
  <dimension ref="A1:M112"/>
  <sheetViews>
    <sheetView tabSelected="1" zoomScaleNormal="100" zoomScaleSheetLayoutView="70" workbookViewId="0">
      <pane ySplit="1" topLeftCell="A71" activePane="bottomLeft" state="frozen"/>
      <selection pane="bottomLeft" activeCell="L107" sqref="L107"/>
    </sheetView>
  </sheetViews>
  <sheetFormatPr defaultColWidth="8.88671875" defaultRowHeight="14.4" x14ac:dyDescent="0.3"/>
  <cols>
    <col min="1" max="1" width="17" bestFit="1" customWidth="1"/>
    <col min="2" max="2" width="25.21875" style="56" customWidth="1"/>
    <col min="3" max="3" width="7.6640625" style="62" customWidth="1"/>
    <col min="4" max="4" width="17.109375" style="64" customWidth="1"/>
    <col min="5" max="5" width="14.5546875" style="65" bestFit="1" customWidth="1"/>
    <col min="6" max="6" width="17.109375" style="65" customWidth="1"/>
    <col min="7" max="7" width="12" style="65" customWidth="1"/>
    <col min="8" max="8" width="11.109375" style="65" bestFit="1" customWidth="1"/>
    <col min="9" max="9" width="13.109375" style="66" bestFit="1" customWidth="1"/>
    <col min="10" max="10" width="15.6640625" style="66" bestFit="1" customWidth="1"/>
    <col min="11" max="11" width="13.5546875" style="62" customWidth="1"/>
    <col min="12" max="12" width="11.33203125" style="84" customWidth="1"/>
    <col min="13" max="13" width="7.33203125" style="62" customWidth="1"/>
    <col min="14" max="16384" width="8.88671875" style="62"/>
  </cols>
  <sheetData>
    <row r="1" spans="1:12" ht="27.75" customHeight="1" thickBot="1" x14ac:dyDescent="0.35">
      <c r="B1" s="49" t="s">
        <v>53</v>
      </c>
      <c r="C1" s="50"/>
      <c r="D1" s="50"/>
      <c r="E1" s="51"/>
      <c r="F1" s="51"/>
      <c r="G1" s="51"/>
      <c r="H1" s="51"/>
      <c r="I1" s="52"/>
      <c r="J1" s="73"/>
    </row>
    <row r="2" spans="1:12" ht="15" thickBot="1" x14ac:dyDescent="0.35">
      <c r="B2" s="53"/>
      <c r="C2" s="43"/>
      <c r="D2" s="54"/>
      <c r="E2" s="7"/>
      <c r="F2" s="7"/>
      <c r="G2" s="7"/>
      <c r="H2" s="7"/>
      <c r="I2" s="26"/>
      <c r="J2" s="26"/>
    </row>
    <row r="3" spans="1:12" ht="10.8" thickBot="1" x14ac:dyDescent="0.35">
      <c r="A3" s="55" t="s">
        <v>14</v>
      </c>
      <c r="B3" s="55" t="s">
        <v>22</v>
      </c>
      <c r="C3" s="10"/>
      <c r="D3" s="10"/>
      <c r="E3" s="10"/>
      <c r="F3" s="24"/>
      <c r="G3" s="24" t="s">
        <v>0</v>
      </c>
      <c r="H3" s="27">
        <v>0.9</v>
      </c>
      <c r="I3" s="27">
        <v>0.1</v>
      </c>
      <c r="J3" s="74"/>
      <c r="K3" s="74"/>
      <c r="L3" s="74"/>
    </row>
    <row r="4" spans="1:12" ht="10.199999999999999" x14ac:dyDescent="0.3">
      <c r="A4" s="20" t="s">
        <v>14</v>
      </c>
      <c r="B4" s="20" t="s">
        <v>13</v>
      </c>
      <c r="C4" s="11" t="s">
        <v>1</v>
      </c>
      <c r="D4" s="5" t="s">
        <v>5</v>
      </c>
      <c r="E4" s="5" t="s">
        <v>3</v>
      </c>
      <c r="F4" s="12" t="s">
        <v>19</v>
      </c>
      <c r="G4" s="41" t="s">
        <v>16</v>
      </c>
      <c r="H4" s="23" t="s">
        <v>19</v>
      </c>
      <c r="I4" s="23" t="s">
        <v>17</v>
      </c>
      <c r="J4" s="74" t="s">
        <v>39</v>
      </c>
      <c r="K4" s="74" t="s">
        <v>38</v>
      </c>
      <c r="L4" s="74" t="s">
        <v>42</v>
      </c>
    </row>
    <row r="5" spans="1:12" ht="10.199999999999999" x14ac:dyDescent="0.3">
      <c r="A5" s="13"/>
      <c r="B5" s="13" t="s">
        <v>23</v>
      </c>
      <c r="C5" s="10">
        <v>43788</v>
      </c>
      <c r="D5" s="1">
        <v>264721606</v>
      </c>
      <c r="E5" s="1">
        <f>D5*10%</f>
        <v>26472160.600000001</v>
      </c>
      <c r="F5" s="1">
        <f>D5-G5</f>
        <v>233885397</v>
      </c>
      <c r="G5" s="1">
        <v>30836209</v>
      </c>
      <c r="H5" s="28">
        <f>F5/D5</f>
        <v>0.88351457417495416</v>
      </c>
      <c r="I5" s="90">
        <f>G5/D5</f>
        <v>0.1164854258250458</v>
      </c>
      <c r="J5" s="1">
        <v>27213321.75</v>
      </c>
      <c r="K5" s="1">
        <v>356415.60000000003</v>
      </c>
      <c r="L5" s="1">
        <v>187</v>
      </c>
    </row>
    <row r="6" spans="1:12" ht="10.199999999999999" x14ac:dyDescent="0.3">
      <c r="A6" s="20"/>
      <c r="B6" s="20"/>
      <c r="C6" s="11"/>
      <c r="D6" s="5"/>
      <c r="E6" s="5"/>
      <c r="F6" s="38"/>
      <c r="G6" s="38"/>
      <c r="H6" s="39"/>
      <c r="I6" s="39"/>
      <c r="J6" s="75"/>
      <c r="K6" s="75"/>
      <c r="L6" s="75"/>
    </row>
    <row r="7" spans="1:12" ht="10.8" thickBot="1" x14ac:dyDescent="0.35">
      <c r="A7" s="9"/>
      <c r="B7" s="9"/>
      <c r="C7" s="7"/>
      <c r="D7" s="4"/>
      <c r="E7" s="4"/>
      <c r="F7" s="4"/>
      <c r="G7" s="4"/>
      <c r="H7" s="29"/>
      <c r="I7" s="29"/>
      <c r="J7" s="4"/>
      <c r="K7" s="4"/>
      <c r="L7" s="4"/>
    </row>
    <row r="8" spans="1:12" ht="10.8" thickBot="1" x14ac:dyDescent="0.35">
      <c r="A8" s="55" t="s">
        <v>14</v>
      </c>
      <c r="B8" s="55" t="s">
        <v>27</v>
      </c>
      <c r="C8" s="10"/>
      <c r="D8" s="10"/>
      <c r="E8" s="10"/>
      <c r="F8" s="24"/>
      <c r="G8" s="24" t="s">
        <v>0</v>
      </c>
      <c r="H8" s="27">
        <v>0.75</v>
      </c>
      <c r="I8" s="27">
        <v>0.25</v>
      </c>
      <c r="J8" s="74"/>
      <c r="K8" s="74"/>
      <c r="L8" s="74"/>
    </row>
    <row r="9" spans="1:12" ht="10.199999999999999" x14ac:dyDescent="0.3">
      <c r="A9" s="20"/>
      <c r="B9" s="20" t="s">
        <v>13</v>
      </c>
      <c r="C9" s="11" t="s">
        <v>1</v>
      </c>
      <c r="D9" s="5" t="s">
        <v>5</v>
      </c>
      <c r="E9" s="5" t="s">
        <v>3</v>
      </c>
      <c r="F9" s="12" t="s">
        <v>19</v>
      </c>
      <c r="G9" s="41" t="s">
        <v>16</v>
      </c>
      <c r="H9" s="23" t="s">
        <v>19</v>
      </c>
      <c r="I9" s="23" t="s">
        <v>17</v>
      </c>
      <c r="J9" s="74" t="s">
        <v>39</v>
      </c>
      <c r="K9" s="74" t="s">
        <v>38</v>
      </c>
      <c r="L9" s="74" t="s">
        <v>42</v>
      </c>
    </row>
    <row r="10" spans="1:12" s="84" customFormat="1" ht="10.199999999999999" x14ac:dyDescent="0.3">
      <c r="A10" s="13"/>
      <c r="B10" s="13" t="s">
        <v>56</v>
      </c>
      <c r="C10" s="10">
        <v>8694</v>
      </c>
      <c r="D10" s="1">
        <v>57144645</v>
      </c>
      <c r="E10" s="1">
        <f t="shared" ref="E10" si="0">D10*25%</f>
        <v>14286161.25</v>
      </c>
      <c r="F10" s="1">
        <f t="shared" ref="F10" si="1">D10-G10</f>
        <v>35489383</v>
      </c>
      <c r="G10" s="1">
        <v>21655262</v>
      </c>
      <c r="H10" s="28">
        <f t="shared" ref="H10" si="2">F10/D10</f>
        <v>0.62104477156170979</v>
      </c>
      <c r="I10" s="33">
        <f t="shared" ref="I10" si="3">G10/D10</f>
        <v>0.37895522843829021</v>
      </c>
      <c r="J10" s="1">
        <v>4749610.8899999997</v>
      </c>
      <c r="K10" s="1">
        <v>345760.19</v>
      </c>
      <c r="L10" s="1">
        <v>15317.07</v>
      </c>
    </row>
    <row r="11" spans="1:12" ht="10.199999999999999" x14ac:dyDescent="0.3">
      <c r="A11" s="9"/>
      <c r="B11" s="9"/>
      <c r="C11" s="7"/>
      <c r="D11" s="4"/>
      <c r="E11" s="4"/>
      <c r="F11" s="4"/>
      <c r="G11" s="4"/>
      <c r="H11" s="29"/>
      <c r="I11" s="29"/>
      <c r="J11" s="4"/>
      <c r="K11" s="4"/>
      <c r="L11" s="4"/>
    </row>
    <row r="12" spans="1:12" s="84" customFormat="1" ht="10.199999999999999" x14ac:dyDescent="0.3">
      <c r="A12" s="9"/>
      <c r="B12" s="9"/>
      <c r="C12" s="7"/>
      <c r="D12" s="4"/>
      <c r="E12" s="4"/>
      <c r="F12" s="4"/>
      <c r="G12" s="4"/>
      <c r="H12" s="29"/>
      <c r="I12" s="29"/>
      <c r="J12" s="4"/>
      <c r="K12" s="4"/>
      <c r="L12" s="4"/>
    </row>
    <row r="13" spans="1:12" s="84" customFormat="1" ht="10.199999999999999" x14ac:dyDescent="0.3">
      <c r="A13" s="9"/>
      <c r="B13" s="9"/>
      <c r="C13" s="7"/>
      <c r="D13" s="4"/>
      <c r="E13" s="4"/>
      <c r="F13" s="4"/>
      <c r="G13" s="4"/>
      <c r="H13" s="29"/>
      <c r="I13" s="29"/>
      <c r="J13" s="4"/>
      <c r="K13" s="4"/>
      <c r="L13" s="4"/>
    </row>
    <row r="14" spans="1:12" ht="10.199999999999999" x14ac:dyDescent="0.3">
      <c r="A14" s="9"/>
      <c r="B14" s="9"/>
      <c r="C14" s="7"/>
      <c r="D14" s="7"/>
      <c r="E14" s="7"/>
      <c r="F14" s="7"/>
      <c r="G14" s="7"/>
      <c r="H14" s="26"/>
      <c r="I14" s="26"/>
      <c r="J14" s="7"/>
      <c r="K14" s="7"/>
      <c r="L14" s="7"/>
    </row>
    <row r="15" spans="1:12" ht="10.8" thickBot="1" x14ac:dyDescent="0.35">
      <c r="A15" s="56"/>
      <c r="C15" s="7"/>
      <c r="D15" s="7"/>
      <c r="E15" s="7"/>
      <c r="F15" s="7"/>
      <c r="G15" s="7"/>
      <c r="H15" s="26"/>
      <c r="I15" s="26"/>
      <c r="J15" s="7"/>
      <c r="K15" s="7"/>
      <c r="L15" s="7"/>
    </row>
    <row r="16" spans="1:12" ht="10.8" thickBot="1" x14ac:dyDescent="0.35">
      <c r="A16" s="55" t="s">
        <v>14</v>
      </c>
      <c r="B16" s="57" t="s">
        <v>31</v>
      </c>
      <c r="C16" s="15"/>
      <c r="D16" s="15"/>
      <c r="E16" s="15"/>
      <c r="F16" s="24"/>
      <c r="G16" s="24" t="s">
        <v>0</v>
      </c>
      <c r="H16" s="27">
        <v>0.7</v>
      </c>
      <c r="I16" s="27">
        <v>0.3</v>
      </c>
      <c r="J16" s="74"/>
      <c r="K16" s="74"/>
      <c r="L16" s="74"/>
    </row>
    <row r="17" spans="1:13" ht="10.199999999999999" x14ac:dyDescent="0.3">
      <c r="A17" s="20"/>
      <c r="B17" s="14" t="s">
        <v>13</v>
      </c>
      <c r="C17" s="11" t="s">
        <v>1</v>
      </c>
      <c r="D17" s="5" t="s">
        <v>5</v>
      </c>
      <c r="E17" s="5" t="s">
        <v>3</v>
      </c>
      <c r="F17" s="12" t="s">
        <v>19</v>
      </c>
      <c r="G17" s="41" t="s">
        <v>16</v>
      </c>
      <c r="H17" s="23" t="s">
        <v>19</v>
      </c>
      <c r="I17" s="23" t="s">
        <v>17</v>
      </c>
      <c r="J17" s="74" t="s">
        <v>39</v>
      </c>
      <c r="K17" s="74" t="s">
        <v>38</v>
      </c>
      <c r="L17" s="74" t="s">
        <v>42</v>
      </c>
    </row>
    <row r="18" spans="1:13" ht="10.199999999999999" x14ac:dyDescent="0.3">
      <c r="A18" s="13"/>
      <c r="B18" s="13" t="s">
        <v>57</v>
      </c>
      <c r="C18" s="10">
        <v>789</v>
      </c>
      <c r="D18" s="1">
        <v>5304192</v>
      </c>
      <c r="E18" s="42">
        <f>D18*30%</f>
        <v>1591257.5999999999</v>
      </c>
      <c r="F18" s="1">
        <f>D18-G18</f>
        <v>3383522</v>
      </c>
      <c r="G18" s="1">
        <v>1920670</v>
      </c>
      <c r="H18" s="30">
        <f t="shared" ref="H18:H23" si="4">F18/D18</f>
        <v>0.63789583785805637</v>
      </c>
      <c r="I18" s="34">
        <f t="shared" ref="I18:I23" si="5">G18/D18</f>
        <v>0.36210416214194358</v>
      </c>
      <c r="J18" s="1">
        <v>579925.61999999988</v>
      </c>
      <c r="K18" s="1">
        <v>59607.64</v>
      </c>
      <c r="L18" s="1">
        <v>0</v>
      </c>
    </row>
    <row r="19" spans="1:13" ht="10.199999999999999" x14ac:dyDescent="0.3">
      <c r="A19" s="13"/>
      <c r="B19" s="13" t="s">
        <v>58</v>
      </c>
      <c r="C19" s="10">
        <v>790</v>
      </c>
      <c r="D19" s="1">
        <v>5304255</v>
      </c>
      <c r="E19" s="42">
        <f t="shared" ref="E19:E22" si="6">D19*30%</f>
        <v>1591276.5</v>
      </c>
      <c r="F19" s="1">
        <f t="shared" ref="F19:F22" si="7">D19-G19</f>
        <v>3279425</v>
      </c>
      <c r="G19" s="1">
        <v>2024830</v>
      </c>
      <c r="H19" s="30">
        <f t="shared" si="4"/>
        <v>0.61826307370215039</v>
      </c>
      <c r="I19" s="34">
        <f t="shared" si="5"/>
        <v>0.38173692629784955</v>
      </c>
      <c r="J19" s="1">
        <v>623508.6</v>
      </c>
      <c r="K19" s="1">
        <v>102786.41</v>
      </c>
      <c r="L19" s="1">
        <v>1426</v>
      </c>
    </row>
    <row r="20" spans="1:13" ht="10.199999999999999" x14ac:dyDescent="0.3">
      <c r="A20" s="13"/>
      <c r="B20" s="13" t="s">
        <v>30</v>
      </c>
      <c r="C20" s="10">
        <v>786</v>
      </c>
      <c r="D20" s="1">
        <v>5304247</v>
      </c>
      <c r="E20" s="42">
        <f t="shared" si="6"/>
        <v>1591274.0999999999</v>
      </c>
      <c r="F20" s="1">
        <f t="shared" si="7"/>
        <v>3155959</v>
      </c>
      <c r="G20" s="1">
        <v>2148288</v>
      </c>
      <c r="H20" s="30">
        <f t="shared" si="4"/>
        <v>0.59498718668267148</v>
      </c>
      <c r="I20" s="34">
        <f t="shared" si="5"/>
        <v>0.40501281331732852</v>
      </c>
      <c r="J20" s="1">
        <v>579953.82999999996</v>
      </c>
      <c r="K20" s="1">
        <v>59566.359999999993</v>
      </c>
      <c r="L20" s="1">
        <v>2947.71</v>
      </c>
    </row>
    <row r="21" spans="1:13" s="84" customFormat="1" ht="10.199999999999999" x14ac:dyDescent="0.3">
      <c r="A21" s="13"/>
      <c r="B21" s="13" t="s">
        <v>59</v>
      </c>
      <c r="C21" s="10">
        <v>783</v>
      </c>
      <c r="D21" s="1">
        <v>5303680</v>
      </c>
      <c r="E21" s="42">
        <f t="shared" si="6"/>
        <v>1591104</v>
      </c>
      <c r="F21" s="1">
        <f t="shared" si="7"/>
        <v>2900434</v>
      </c>
      <c r="G21" s="1">
        <v>2403246</v>
      </c>
      <c r="H21" s="30">
        <f t="shared" si="4"/>
        <v>0.54687198322674069</v>
      </c>
      <c r="I21" s="34">
        <f t="shared" si="5"/>
        <v>0.45312801677325931</v>
      </c>
      <c r="J21" s="1">
        <v>526733.21</v>
      </c>
      <c r="K21" s="1">
        <v>66346.69</v>
      </c>
      <c r="L21" s="1">
        <v>0</v>
      </c>
    </row>
    <row r="22" spans="1:13" ht="13.8" x14ac:dyDescent="0.3">
      <c r="A22" s="13"/>
      <c r="B22" s="13" t="s">
        <v>60</v>
      </c>
      <c r="C22" s="10">
        <v>795</v>
      </c>
      <c r="D22" s="1">
        <v>5304794</v>
      </c>
      <c r="E22" s="42">
        <f t="shared" si="6"/>
        <v>1591438.2</v>
      </c>
      <c r="F22" s="1">
        <f t="shared" si="7"/>
        <v>2813199</v>
      </c>
      <c r="G22" s="1">
        <v>2491595</v>
      </c>
      <c r="H22" s="30">
        <f t="shared" si="4"/>
        <v>0.53031258141220938</v>
      </c>
      <c r="I22" s="34">
        <f t="shared" si="5"/>
        <v>0.46968741858779062</v>
      </c>
      <c r="J22" s="1">
        <v>520964.02</v>
      </c>
      <c r="K22" s="1">
        <v>39440.04</v>
      </c>
      <c r="L22" s="1">
        <v>9106</v>
      </c>
      <c r="M22" s="86"/>
    </row>
    <row r="23" spans="1:13" ht="10.8" thickBot="1" x14ac:dyDescent="0.35">
      <c r="A23" s="16"/>
      <c r="B23" s="16"/>
      <c r="C23" s="19">
        <f>SUM(C18:C22)</f>
        <v>3943</v>
      </c>
      <c r="D23" s="17">
        <f>SUM(D18:D22)</f>
        <v>26521168</v>
      </c>
      <c r="E23" s="17">
        <f>SUM(E18:E22)</f>
        <v>7956350.3999999994</v>
      </c>
      <c r="F23" s="18">
        <f>SUM(F18:F22)</f>
        <v>15532539</v>
      </c>
      <c r="G23" s="18">
        <f>SUM(G18:G22)</f>
        <v>10988629</v>
      </c>
      <c r="H23" s="31">
        <f t="shared" si="4"/>
        <v>0.58566572181134702</v>
      </c>
      <c r="I23" s="69">
        <f t="shared" si="5"/>
        <v>0.41433427818865293</v>
      </c>
      <c r="J23" s="76"/>
      <c r="K23" s="76"/>
      <c r="L23" s="76"/>
    </row>
    <row r="24" spans="1:13" ht="10.8" thickBot="1" x14ac:dyDescent="0.35">
      <c r="A24" s="9"/>
      <c r="B24" s="9"/>
      <c r="C24" s="7"/>
      <c r="D24" s="4"/>
      <c r="E24" s="4"/>
      <c r="F24" s="4"/>
      <c r="G24" s="4"/>
      <c r="H24" s="4"/>
      <c r="I24" s="29"/>
      <c r="J24" s="4"/>
      <c r="K24" s="4"/>
      <c r="L24" s="4"/>
    </row>
    <row r="25" spans="1:13" ht="10.8" thickBot="1" x14ac:dyDescent="0.35">
      <c r="A25" s="58"/>
      <c r="B25" s="58" t="s">
        <v>20</v>
      </c>
      <c r="C25" s="45"/>
      <c r="D25" s="45"/>
      <c r="E25" s="45"/>
      <c r="F25" s="45"/>
      <c r="G25" s="45"/>
      <c r="H25" s="46"/>
      <c r="I25" s="47"/>
      <c r="J25" s="45"/>
      <c r="K25" s="45"/>
      <c r="L25" s="45"/>
    </row>
    <row r="26" spans="1:13" ht="10.8" thickBot="1" x14ac:dyDescent="0.35">
      <c r="A26" s="59"/>
      <c r="B26" s="59" t="s">
        <v>21</v>
      </c>
      <c r="C26" s="48"/>
      <c r="D26" s="48"/>
      <c r="E26" s="48"/>
      <c r="F26" s="48"/>
      <c r="G26" s="48"/>
      <c r="H26" s="46"/>
      <c r="I26" s="47"/>
      <c r="J26" s="48"/>
      <c r="K26" s="48"/>
      <c r="L26" s="48"/>
    </row>
    <row r="27" spans="1:13" ht="10.199999999999999" x14ac:dyDescent="0.3">
      <c r="A27" s="9"/>
      <c r="B27" s="9"/>
      <c r="C27" s="7"/>
      <c r="D27" s="7"/>
      <c r="E27" s="7"/>
      <c r="F27" s="7"/>
      <c r="G27" s="7"/>
      <c r="H27" s="26"/>
      <c r="I27" s="26"/>
      <c r="J27" s="7"/>
      <c r="K27" s="7"/>
      <c r="L27" s="7"/>
    </row>
    <row r="28" spans="1:13" ht="10.199999999999999" x14ac:dyDescent="0.3">
      <c r="A28" s="9"/>
      <c r="B28" s="9"/>
      <c r="C28" s="7"/>
      <c r="D28" s="7"/>
      <c r="E28" s="7"/>
      <c r="F28" s="7"/>
      <c r="G28" s="7"/>
      <c r="H28" s="26"/>
      <c r="I28" s="26"/>
      <c r="J28" s="7"/>
      <c r="K28" s="7"/>
      <c r="L28" s="7"/>
    </row>
    <row r="29" spans="1:13" ht="10.8" thickBot="1" x14ac:dyDescent="0.35">
      <c r="A29" s="9"/>
      <c r="B29" s="9"/>
      <c r="C29" s="7"/>
      <c r="D29" s="4"/>
      <c r="E29" s="4"/>
      <c r="F29" s="4"/>
      <c r="G29" s="4"/>
      <c r="H29" s="4"/>
      <c r="I29" s="29"/>
      <c r="J29" s="4"/>
      <c r="K29" s="4"/>
      <c r="L29" s="4"/>
    </row>
    <row r="30" spans="1:13" ht="10.8" thickBot="1" x14ac:dyDescent="0.35">
      <c r="A30" s="55" t="s">
        <v>14</v>
      </c>
      <c r="B30" s="57" t="s">
        <v>32</v>
      </c>
      <c r="C30" s="15"/>
      <c r="D30" s="15"/>
      <c r="E30" s="15"/>
      <c r="F30" s="24"/>
      <c r="G30" s="24" t="s">
        <v>0</v>
      </c>
      <c r="H30" s="27">
        <v>0.75</v>
      </c>
      <c r="I30" s="27">
        <v>0.25</v>
      </c>
      <c r="J30" s="74"/>
      <c r="K30" s="74"/>
      <c r="L30" s="74"/>
    </row>
    <row r="31" spans="1:13" ht="10.199999999999999" x14ac:dyDescent="0.3">
      <c r="A31" s="20"/>
      <c r="B31" s="14" t="s">
        <v>13</v>
      </c>
      <c r="C31" s="11" t="s">
        <v>1</v>
      </c>
      <c r="D31" s="5" t="s">
        <v>5</v>
      </c>
      <c r="E31" s="5" t="s">
        <v>6</v>
      </c>
      <c r="F31" s="12" t="s">
        <v>19</v>
      </c>
      <c r="G31" s="41" t="s">
        <v>7</v>
      </c>
      <c r="H31" s="23" t="s">
        <v>19</v>
      </c>
      <c r="I31" s="23" t="s">
        <v>18</v>
      </c>
      <c r="J31" s="74" t="s">
        <v>39</v>
      </c>
      <c r="K31" s="74" t="s">
        <v>38</v>
      </c>
      <c r="L31" s="74" t="s">
        <v>42</v>
      </c>
    </row>
    <row r="32" spans="1:13" ht="10.199999999999999" x14ac:dyDescent="0.3">
      <c r="A32" s="13"/>
      <c r="B32" s="8" t="s">
        <v>44</v>
      </c>
      <c r="C32" s="10">
        <v>665</v>
      </c>
      <c r="D32" s="10">
        <v>4712167</v>
      </c>
      <c r="E32" s="1">
        <f>D32*25%</f>
        <v>1178041.75</v>
      </c>
      <c r="F32" s="1">
        <f>D32-G32</f>
        <v>3507761</v>
      </c>
      <c r="G32" s="1">
        <v>1204406</v>
      </c>
      <c r="H32" s="32">
        <f>F32/D32</f>
        <v>0.7444050688356334</v>
      </c>
      <c r="I32" s="102">
        <f t="shared" ref="I32" si="8">G32/D32</f>
        <v>0.2555949311643666</v>
      </c>
      <c r="J32" s="1">
        <v>839048.4</v>
      </c>
      <c r="K32" s="1">
        <v>331330.51</v>
      </c>
      <c r="L32" s="1">
        <v>148230.34999999998</v>
      </c>
    </row>
    <row r="33" spans="1:13" ht="10.199999999999999" x14ac:dyDescent="0.3">
      <c r="A33" s="13"/>
      <c r="B33" s="8" t="s">
        <v>45</v>
      </c>
      <c r="C33" s="10">
        <v>647</v>
      </c>
      <c r="D33" s="10">
        <v>4695065</v>
      </c>
      <c r="E33" s="1">
        <f t="shared" ref="E33:E37" si="9">D33*25%</f>
        <v>1173766.25</v>
      </c>
      <c r="F33" s="1">
        <f t="shared" ref="F33:F37" si="10">D33-G33</f>
        <v>3498841</v>
      </c>
      <c r="G33" s="1">
        <v>1196224</v>
      </c>
      <c r="H33" s="32">
        <f t="shared" ref="H33:H38" si="11">F33/D33</f>
        <v>0.74521673288868207</v>
      </c>
      <c r="I33" s="102">
        <f t="shared" ref="I33:I38" si="12">G33/D33</f>
        <v>0.25478326711131793</v>
      </c>
      <c r="J33" s="1">
        <v>725419.49000000011</v>
      </c>
      <c r="K33" s="1">
        <v>336272.85000000003</v>
      </c>
      <c r="L33" s="1">
        <v>134049.45000000001</v>
      </c>
    </row>
    <row r="34" spans="1:13" ht="10.199999999999999" x14ac:dyDescent="0.3">
      <c r="A34" s="13"/>
      <c r="B34" s="8" t="s">
        <v>61</v>
      </c>
      <c r="C34" s="10">
        <v>655</v>
      </c>
      <c r="D34" s="10">
        <v>4694938</v>
      </c>
      <c r="E34" s="1">
        <f t="shared" si="9"/>
        <v>1173734.5</v>
      </c>
      <c r="F34" s="1">
        <f t="shared" si="10"/>
        <v>3688643</v>
      </c>
      <c r="G34" s="1">
        <v>1006295</v>
      </c>
      <c r="H34" s="32">
        <f t="shared" si="11"/>
        <v>0.78566383624235292</v>
      </c>
      <c r="I34" s="35">
        <f t="shared" si="12"/>
        <v>0.21433616375764705</v>
      </c>
      <c r="J34" s="1">
        <v>631630.4</v>
      </c>
      <c r="K34" s="1">
        <v>352828.36</v>
      </c>
      <c r="L34" s="1">
        <v>81169.59</v>
      </c>
    </row>
    <row r="35" spans="1:13" s="84" customFormat="1" ht="10.199999999999999" x14ac:dyDescent="0.3">
      <c r="A35" s="13"/>
      <c r="B35" s="8" t="s">
        <v>46</v>
      </c>
      <c r="C35" s="10">
        <v>666</v>
      </c>
      <c r="D35" s="10">
        <v>4713633</v>
      </c>
      <c r="E35" s="1">
        <f t="shared" si="9"/>
        <v>1178408.25</v>
      </c>
      <c r="F35" s="1">
        <f t="shared" si="10"/>
        <v>3723360</v>
      </c>
      <c r="G35" s="1">
        <v>990273</v>
      </c>
      <c r="H35" s="32">
        <f t="shared" si="11"/>
        <v>0.78991300340947201</v>
      </c>
      <c r="I35" s="35">
        <f t="shared" si="12"/>
        <v>0.21008699659052793</v>
      </c>
      <c r="J35" s="1">
        <v>520230.23000000004</v>
      </c>
      <c r="K35" s="1">
        <v>276447.14</v>
      </c>
      <c r="L35" s="1">
        <v>78229.649999999994</v>
      </c>
    </row>
    <row r="36" spans="1:13" ht="10.199999999999999" x14ac:dyDescent="0.3">
      <c r="A36" s="13"/>
      <c r="B36" s="8" t="s">
        <v>62</v>
      </c>
      <c r="C36" s="10">
        <v>665</v>
      </c>
      <c r="D36" s="10">
        <v>4710310</v>
      </c>
      <c r="E36" s="1">
        <f t="shared" si="9"/>
        <v>1177577.5</v>
      </c>
      <c r="F36" s="1">
        <f t="shared" si="10"/>
        <v>3693901</v>
      </c>
      <c r="G36" s="1">
        <v>1016409</v>
      </c>
      <c r="H36" s="32">
        <f t="shared" si="11"/>
        <v>0.78421611316452633</v>
      </c>
      <c r="I36" s="35">
        <f t="shared" si="12"/>
        <v>0.21578388683547367</v>
      </c>
      <c r="J36" s="1">
        <v>589820.61</v>
      </c>
      <c r="K36" s="1">
        <v>304878.02</v>
      </c>
      <c r="L36" s="1">
        <v>53642.079999999994</v>
      </c>
    </row>
    <row r="37" spans="1:13" s="84" customFormat="1" ht="10.199999999999999" x14ac:dyDescent="0.3">
      <c r="A37" s="91"/>
      <c r="B37" s="92" t="s">
        <v>63</v>
      </c>
      <c r="C37" s="93">
        <v>654</v>
      </c>
      <c r="D37" s="93">
        <v>4695966</v>
      </c>
      <c r="E37" s="1">
        <f t="shared" si="9"/>
        <v>1173991.5</v>
      </c>
      <c r="F37" s="1">
        <f t="shared" si="10"/>
        <v>3765511</v>
      </c>
      <c r="G37" s="1">
        <v>930455</v>
      </c>
      <c r="H37" s="32">
        <f t="shared" si="11"/>
        <v>0.80186078860025822</v>
      </c>
      <c r="I37" s="35">
        <f t="shared" si="12"/>
        <v>0.19813921139974183</v>
      </c>
      <c r="J37" s="94">
        <v>542218.7300000001</v>
      </c>
      <c r="K37" s="94">
        <v>335350.46000000002</v>
      </c>
      <c r="L37" s="94">
        <v>35385.620000000003</v>
      </c>
    </row>
    <row r="38" spans="1:13" ht="10.8" thickBot="1" x14ac:dyDescent="0.35">
      <c r="A38" s="3"/>
      <c r="B38" s="3"/>
      <c r="C38" s="40">
        <f>SUM(C32:C37)</f>
        <v>3952</v>
      </c>
      <c r="D38" s="40">
        <f>SUM(D32:D37)</f>
        <v>28222079</v>
      </c>
      <c r="E38" s="40">
        <f>SUM(E32:E37)</f>
        <v>7055519.75</v>
      </c>
      <c r="F38" s="40">
        <f>SUM(F32:F37)</f>
        <v>21878017</v>
      </c>
      <c r="G38" s="2">
        <f>SUM(G32:G37)</f>
        <v>6344062</v>
      </c>
      <c r="H38" s="79">
        <f t="shared" si="11"/>
        <v>0.7752092608060519</v>
      </c>
      <c r="I38" s="37">
        <f t="shared" si="12"/>
        <v>0.22479073919394812</v>
      </c>
      <c r="J38" s="77"/>
      <c r="K38" s="77"/>
      <c r="L38" s="77"/>
      <c r="M38" s="80"/>
    </row>
    <row r="39" spans="1:13" ht="10.8" thickBot="1" x14ac:dyDescent="0.35">
      <c r="A39" s="9"/>
      <c r="B39" s="9"/>
      <c r="C39" s="7"/>
      <c r="D39" s="7"/>
      <c r="E39" s="7"/>
      <c r="F39" s="7"/>
      <c r="G39" s="4"/>
      <c r="H39" s="4"/>
      <c r="I39" s="29"/>
      <c r="J39" s="4"/>
      <c r="K39" s="4"/>
      <c r="L39" s="4"/>
    </row>
    <row r="40" spans="1:13" s="81" customFormat="1" ht="10.8" thickBot="1" x14ac:dyDescent="0.35">
      <c r="A40" s="61"/>
      <c r="B40" s="61" t="s">
        <v>20</v>
      </c>
      <c r="C40" s="15"/>
      <c r="D40" s="15"/>
      <c r="E40" s="15"/>
      <c r="F40" s="15"/>
      <c r="G40" s="15"/>
      <c r="H40" s="71"/>
      <c r="I40" s="72"/>
      <c r="J40" s="15"/>
      <c r="K40" s="15"/>
      <c r="L40" s="15"/>
    </row>
    <row r="41" spans="1:13" s="81" customFormat="1" ht="10.8" thickBot="1" x14ac:dyDescent="0.35">
      <c r="A41" s="63"/>
      <c r="B41" s="63" t="s">
        <v>21</v>
      </c>
      <c r="C41" s="21"/>
      <c r="D41" s="21"/>
      <c r="E41" s="21"/>
      <c r="F41" s="21"/>
      <c r="G41" s="21"/>
      <c r="H41" s="71"/>
      <c r="I41" s="72"/>
      <c r="J41" s="21"/>
      <c r="K41" s="21"/>
      <c r="L41" s="21"/>
    </row>
    <row r="42" spans="1:13" s="81" customFormat="1" ht="10.199999999999999" x14ac:dyDescent="0.3">
      <c r="A42" s="9"/>
      <c r="B42" s="9"/>
      <c r="C42" s="7"/>
      <c r="D42" s="7"/>
      <c r="E42" s="7"/>
      <c r="F42" s="7"/>
      <c r="G42" s="7"/>
      <c r="H42" s="26"/>
      <c r="I42" s="26"/>
      <c r="J42" s="26"/>
    </row>
    <row r="43" spans="1:13" ht="10.199999999999999" x14ac:dyDescent="0.3">
      <c r="A43" s="9"/>
      <c r="B43" s="9"/>
      <c r="C43" s="7"/>
      <c r="D43" s="7"/>
      <c r="E43" s="7"/>
      <c r="F43" s="7"/>
      <c r="G43" s="7"/>
      <c r="H43" s="26"/>
      <c r="I43" s="26"/>
      <c r="J43" s="26"/>
    </row>
    <row r="44" spans="1:13" ht="10.8" thickBot="1" x14ac:dyDescent="0.35">
      <c r="A44" s="9"/>
      <c r="B44" s="9"/>
      <c r="C44" s="7"/>
      <c r="D44" s="7"/>
      <c r="E44" s="7"/>
      <c r="F44" s="7"/>
      <c r="G44" s="4"/>
      <c r="H44" s="4"/>
      <c r="I44" s="29"/>
      <c r="J44" s="29"/>
    </row>
    <row r="45" spans="1:13" ht="10.8" thickBot="1" x14ac:dyDescent="0.35">
      <c r="A45" s="55" t="s">
        <v>14</v>
      </c>
      <c r="B45" s="57" t="s">
        <v>28</v>
      </c>
      <c r="C45" s="15"/>
      <c r="D45" s="15"/>
      <c r="E45" s="15"/>
      <c r="F45" s="24" t="s">
        <v>0</v>
      </c>
      <c r="G45" s="25"/>
      <c r="H45" s="74"/>
      <c r="I45" s="74"/>
      <c r="J45" s="74"/>
      <c r="K45" s="82"/>
      <c r="L45" s="82"/>
    </row>
    <row r="46" spans="1:13" ht="30.6" x14ac:dyDescent="0.3">
      <c r="A46" s="20"/>
      <c r="B46" s="14" t="s">
        <v>13</v>
      </c>
      <c r="C46" s="11" t="s">
        <v>1</v>
      </c>
      <c r="D46" s="5" t="s">
        <v>2</v>
      </c>
      <c r="E46" s="5" t="s">
        <v>3</v>
      </c>
      <c r="F46" s="12" t="s">
        <v>4</v>
      </c>
      <c r="G46" s="23" t="s">
        <v>4</v>
      </c>
      <c r="H46" s="78" t="s">
        <v>39</v>
      </c>
      <c r="I46" s="78" t="s">
        <v>38</v>
      </c>
      <c r="J46" s="74" t="s">
        <v>42</v>
      </c>
      <c r="K46" s="82"/>
      <c r="L46" s="82"/>
    </row>
    <row r="47" spans="1:13" thickBot="1" x14ac:dyDescent="0.35">
      <c r="A47" s="13"/>
      <c r="B47" s="13" t="s">
        <v>47</v>
      </c>
      <c r="C47" s="10">
        <v>615</v>
      </c>
      <c r="D47" s="1">
        <v>3321116</v>
      </c>
      <c r="E47" s="1">
        <f>D47*7%</f>
        <v>232478.12000000002</v>
      </c>
      <c r="F47" s="1">
        <v>235265.48</v>
      </c>
      <c r="G47" s="103">
        <f>F47/D47</f>
        <v>7.0839284144245493E-2</v>
      </c>
      <c r="H47" s="1">
        <v>370721.28000000003</v>
      </c>
      <c r="I47" s="1">
        <v>175850.93</v>
      </c>
      <c r="J47" s="1">
        <v>98055.8</v>
      </c>
      <c r="K47" s="85"/>
      <c r="L47" s="82"/>
    </row>
    <row r="48" spans="1:13" ht="10.199999999999999" x14ac:dyDescent="0.3">
      <c r="A48" s="13"/>
      <c r="B48" s="13" t="s">
        <v>43</v>
      </c>
      <c r="C48" s="10">
        <v>619</v>
      </c>
      <c r="D48" s="1">
        <v>3321042</v>
      </c>
      <c r="E48" s="1">
        <f t="shared" ref="E48:E52" si="13">D48*7%</f>
        <v>232472.94000000003</v>
      </c>
      <c r="F48" s="1">
        <v>336427.2699999999</v>
      </c>
      <c r="G48" s="103">
        <f t="shared" ref="G48:G53" si="14">F48/D48</f>
        <v>0.10130172096588959</v>
      </c>
      <c r="H48" s="1">
        <v>640299.85</v>
      </c>
      <c r="I48" s="1">
        <v>298662.70000000007</v>
      </c>
      <c r="J48" s="1">
        <v>166367.41</v>
      </c>
      <c r="K48" s="82"/>
      <c r="L48" s="82"/>
    </row>
    <row r="49" spans="1:12" ht="10.199999999999999" x14ac:dyDescent="0.3">
      <c r="A49" s="13"/>
      <c r="B49" s="13" t="s">
        <v>64</v>
      </c>
      <c r="C49" s="10">
        <v>626</v>
      </c>
      <c r="D49" s="1">
        <v>3320985</v>
      </c>
      <c r="E49" s="1">
        <f t="shared" si="13"/>
        <v>232468.95</v>
      </c>
      <c r="F49" s="1">
        <v>367058.13999999996</v>
      </c>
      <c r="G49" s="103">
        <f t="shared" si="14"/>
        <v>0.11052688885978104</v>
      </c>
      <c r="H49" s="1">
        <v>654465.93999999994</v>
      </c>
      <c r="I49" s="1">
        <v>215838.31</v>
      </c>
      <c r="J49" s="1">
        <v>221158.97999999998</v>
      </c>
      <c r="K49" s="82"/>
      <c r="L49" s="82"/>
    </row>
    <row r="50" spans="1:12" s="84" customFormat="1" ht="10.199999999999999" x14ac:dyDescent="0.3">
      <c r="A50" s="13"/>
      <c r="B50" s="13" t="s">
        <v>33</v>
      </c>
      <c r="C50" s="10">
        <v>631</v>
      </c>
      <c r="D50" s="1">
        <v>3321006</v>
      </c>
      <c r="E50" s="1">
        <f t="shared" si="13"/>
        <v>232470.42</v>
      </c>
      <c r="F50" s="1">
        <v>305014.68</v>
      </c>
      <c r="G50" s="103">
        <f t="shared" si="14"/>
        <v>9.184406170901227E-2</v>
      </c>
      <c r="H50" s="1">
        <v>465417.81</v>
      </c>
      <c r="I50" s="1">
        <v>144120.95000000001</v>
      </c>
      <c r="J50" s="1">
        <v>171835.12</v>
      </c>
      <c r="K50" s="82"/>
      <c r="L50" s="82"/>
    </row>
    <row r="51" spans="1:12" s="84" customFormat="1" ht="10.199999999999999" x14ac:dyDescent="0.3">
      <c r="A51" s="13"/>
      <c r="B51" s="13" t="s">
        <v>65</v>
      </c>
      <c r="C51" s="10">
        <v>624</v>
      </c>
      <c r="D51" s="1">
        <v>3321100</v>
      </c>
      <c r="E51" s="1">
        <f t="shared" si="13"/>
        <v>232477.00000000003</v>
      </c>
      <c r="F51" s="1">
        <v>286680.93</v>
      </c>
      <c r="G51" s="103">
        <f t="shared" si="14"/>
        <v>8.6321077353888775E-2</v>
      </c>
      <c r="H51" s="1">
        <v>437608.4599999999</v>
      </c>
      <c r="I51" s="1">
        <v>215441.64999999997</v>
      </c>
      <c r="J51" s="1">
        <v>109533.22000000002</v>
      </c>
      <c r="K51" s="82"/>
      <c r="L51" s="82"/>
    </row>
    <row r="52" spans="1:12" ht="10.199999999999999" customHeight="1" x14ac:dyDescent="0.3">
      <c r="A52" s="13"/>
      <c r="B52" s="13" t="s">
        <v>66</v>
      </c>
      <c r="C52" s="10">
        <v>621</v>
      </c>
      <c r="D52" s="1">
        <v>3321130</v>
      </c>
      <c r="E52" s="1">
        <f t="shared" si="13"/>
        <v>232479.10000000003</v>
      </c>
      <c r="F52" s="1">
        <v>191240.01000000004</v>
      </c>
      <c r="G52" s="36">
        <f t="shared" si="14"/>
        <v>5.7582813680885733E-2</v>
      </c>
      <c r="H52" s="1">
        <v>324578.12000000005</v>
      </c>
      <c r="I52" s="1">
        <v>170208.47</v>
      </c>
      <c r="J52" s="1">
        <v>69699.820000000007</v>
      </c>
      <c r="K52" s="82"/>
      <c r="L52" s="82"/>
    </row>
    <row r="53" spans="1:12" ht="10.8" thickBot="1" x14ac:dyDescent="0.35">
      <c r="A53" s="16"/>
      <c r="B53" s="16"/>
      <c r="C53" s="19">
        <f>SUM(C47:C52)</f>
        <v>3736</v>
      </c>
      <c r="D53" s="17">
        <f>SUM(D47:D52)</f>
        <v>19926379</v>
      </c>
      <c r="E53" s="17">
        <f>SUM(E47:E52)</f>
        <v>1394846.5300000003</v>
      </c>
      <c r="F53" s="18">
        <f>SUM(F47:F52)</f>
        <v>1721686.5099999998</v>
      </c>
      <c r="G53" s="104">
        <f t="shared" si="14"/>
        <v>8.6402376969744468E-2</v>
      </c>
      <c r="H53" s="76"/>
      <c r="I53" s="76"/>
      <c r="J53" s="76"/>
      <c r="K53" s="82"/>
      <c r="L53" s="82"/>
    </row>
    <row r="54" spans="1:12" ht="10.8" thickBot="1" x14ac:dyDescent="0.35">
      <c r="A54" s="9"/>
      <c r="B54" s="9"/>
      <c r="C54" s="7"/>
      <c r="D54" s="4"/>
      <c r="E54" s="4"/>
      <c r="F54" s="4"/>
      <c r="G54" s="29"/>
      <c r="H54" s="4"/>
      <c r="I54" s="4"/>
      <c r="J54" s="4"/>
      <c r="K54" s="82"/>
      <c r="L54" s="82"/>
    </row>
    <row r="55" spans="1:12" ht="10.8" thickBot="1" x14ac:dyDescent="0.35">
      <c r="A55" s="61"/>
      <c r="B55" s="61" t="s">
        <v>20</v>
      </c>
      <c r="C55" s="15"/>
      <c r="D55" s="15"/>
      <c r="E55" s="15"/>
      <c r="F55" s="15"/>
      <c r="G55" s="22"/>
      <c r="H55" s="15"/>
      <c r="I55" s="15"/>
      <c r="J55" s="15"/>
      <c r="K55" s="82"/>
      <c r="L55" s="82"/>
    </row>
    <row r="56" spans="1:12" ht="10.8" thickBot="1" x14ac:dyDescent="0.35">
      <c r="A56" s="63"/>
      <c r="B56" s="63" t="s">
        <v>21</v>
      </c>
      <c r="C56" s="21"/>
      <c r="D56" s="21"/>
      <c r="E56" s="21"/>
      <c r="F56" s="21"/>
      <c r="G56" s="22"/>
      <c r="H56" s="21"/>
      <c r="I56" s="21"/>
      <c r="J56" s="21"/>
      <c r="K56" s="82"/>
      <c r="L56" s="82"/>
    </row>
    <row r="57" spans="1:12" ht="10.199999999999999" x14ac:dyDescent="0.3">
      <c r="A57" s="9"/>
      <c r="B57" s="9"/>
      <c r="C57" s="7"/>
      <c r="D57" s="4"/>
      <c r="E57" s="4"/>
      <c r="F57" s="4"/>
      <c r="G57" s="29"/>
      <c r="H57" s="4"/>
      <c r="I57" s="4"/>
      <c r="J57" s="4"/>
      <c r="K57" s="82"/>
      <c r="L57" s="82"/>
    </row>
    <row r="58" spans="1:12" ht="10.199999999999999" x14ac:dyDescent="0.3">
      <c r="A58" s="9"/>
      <c r="B58" s="9"/>
      <c r="C58" s="7"/>
      <c r="D58" s="4"/>
      <c r="E58" s="4"/>
      <c r="F58" s="4"/>
      <c r="G58" s="29"/>
      <c r="H58" s="4"/>
      <c r="I58" s="4"/>
      <c r="J58" s="4"/>
      <c r="K58" s="82"/>
      <c r="L58" s="82"/>
    </row>
    <row r="59" spans="1:12" ht="10.8" thickBot="1" x14ac:dyDescent="0.35">
      <c r="A59" s="9"/>
      <c r="B59" s="9"/>
      <c r="C59" s="7"/>
      <c r="D59" s="4"/>
      <c r="E59" s="4"/>
      <c r="F59" s="4"/>
      <c r="G59" s="29"/>
      <c r="H59" s="4"/>
      <c r="I59" s="4"/>
      <c r="J59" s="4"/>
      <c r="K59" s="82"/>
      <c r="L59" s="82"/>
    </row>
    <row r="60" spans="1:12" ht="10.8" thickBot="1" x14ac:dyDescent="0.35">
      <c r="A60" s="55" t="s">
        <v>14</v>
      </c>
      <c r="B60" s="57" t="s">
        <v>37</v>
      </c>
      <c r="C60" s="15"/>
      <c r="D60" s="15"/>
      <c r="E60" s="15"/>
      <c r="F60" s="24" t="s">
        <v>0</v>
      </c>
      <c r="G60" s="25"/>
      <c r="H60" s="74"/>
      <c r="I60" s="74"/>
      <c r="J60" s="74"/>
      <c r="K60" s="82"/>
      <c r="L60" s="82"/>
    </row>
    <row r="61" spans="1:12" ht="30.6" x14ac:dyDescent="0.3">
      <c r="A61" s="20" t="s">
        <v>14</v>
      </c>
      <c r="B61" s="14" t="s">
        <v>13</v>
      </c>
      <c r="C61" s="11" t="s">
        <v>1</v>
      </c>
      <c r="D61" s="5" t="s">
        <v>2</v>
      </c>
      <c r="E61" s="5" t="s">
        <v>3</v>
      </c>
      <c r="F61" s="12" t="s">
        <v>4</v>
      </c>
      <c r="G61" s="23" t="s">
        <v>4</v>
      </c>
      <c r="H61" s="74" t="s">
        <v>39</v>
      </c>
      <c r="I61" s="78" t="s">
        <v>38</v>
      </c>
      <c r="J61" s="74" t="s">
        <v>42</v>
      </c>
      <c r="K61" s="82"/>
      <c r="L61" s="82"/>
    </row>
    <row r="62" spans="1:12" ht="10.199999999999999" x14ac:dyDescent="0.3">
      <c r="A62" s="13"/>
      <c r="B62" s="13" t="s">
        <v>67</v>
      </c>
      <c r="C62" s="10">
        <v>603</v>
      </c>
      <c r="D62" s="1">
        <v>4929905</v>
      </c>
      <c r="E62" s="1">
        <f>D62*5%</f>
        <v>246495.25</v>
      </c>
      <c r="F62" s="1">
        <v>283907.88999999996</v>
      </c>
      <c r="G62" s="103">
        <f>F62/D62</f>
        <v>5.7588917027812901E-2</v>
      </c>
      <c r="H62" s="1">
        <v>401646.01</v>
      </c>
      <c r="I62" s="1">
        <v>146341.44</v>
      </c>
      <c r="J62" s="1">
        <v>150653.43</v>
      </c>
      <c r="K62" s="82"/>
      <c r="L62" s="82"/>
    </row>
    <row r="63" spans="1:12" ht="10.199999999999999" x14ac:dyDescent="0.3">
      <c r="A63" s="13">
        <v>0</v>
      </c>
      <c r="B63" s="13" t="s">
        <v>68</v>
      </c>
      <c r="C63" s="10">
        <v>303</v>
      </c>
      <c r="D63" s="1">
        <v>2466328</v>
      </c>
      <c r="E63" s="1">
        <f t="shared" ref="E63:E64" si="15">D63*5%</f>
        <v>123316.40000000001</v>
      </c>
      <c r="F63" s="1">
        <v>104676.19</v>
      </c>
      <c r="G63" s="36">
        <f t="shared" ref="G63:G65" si="16">F63/D63</f>
        <v>4.2442120431670081E-2</v>
      </c>
      <c r="H63" s="1">
        <v>161932.12</v>
      </c>
      <c r="I63" s="1">
        <v>52797.31</v>
      </c>
      <c r="J63" s="1">
        <v>65962.03</v>
      </c>
      <c r="K63" s="82"/>
      <c r="L63" s="82"/>
    </row>
    <row r="64" spans="1:12" s="84" customFormat="1" ht="10.199999999999999" x14ac:dyDescent="0.3">
      <c r="A64" s="95"/>
      <c r="B64" s="95" t="s">
        <v>69</v>
      </c>
      <c r="C64" s="96">
        <v>301</v>
      </c>
      <c r="D64" s="97">
        <v>2464939</v>
      </c>
      <c r="E64" s="1">
        <f t="shared" si="15"/>
        <v>123246.95000000001</v>
      </c>
      <c r="F64" s="1">
        <v>163918.59</v>
      </c>
      <c r="G64" s="105">
        <f t="shared" si="16"/>
        <v>6.6500059433519443E-2</v>
      </c>
      <c r="H64" s="97">
        <v>235009.12</v>
      </c>
      <c r="I64" s="97">
        <v>63527.149999999994</v>
      </c>
      <c r="J64" s="97">
        <v>81897.69</v>
      </c>
      <c r="K64" s="82"/>
      <c r="L64" s="82"/>
    </row>
    <row r="65" spans="1:12" ht="10.8" thickBot="1" x14ac:dyDescent="0.35">
      <c r="A65" s="16"/>
      <c r="B65" s="16"/>
      <c r="C65" s="19">
        <f>SUM(C62:C64)</f>
        <v>1207</v>
      </c>
      <c r="D65" s="17">
        <f>SUM(D62:D64)</f>
        <v>9861172</v>
      </c>
      <c r="E65" s="17">
        <f>SUM(E62:E64)</f>
        <v>493058.60000000003</v>
      </c>
      <c r="F65" s="18">
        <f>SUM(F62:F64)</f>
        <v>552502.66999999993</v>
      </c>
      <c r="G65" s="70">
        <f t="shared" si="16"/>
        <v>5.6028093820896741E-2</v>
      </c>
      <c r="H65" s="76"/>
      <c r="I65" s="76"/>
      <c r="J65" s="76"/>
      <c r="K65" s="82"/>
      <c r="L65" s="82"/>
    </row>
    <row r="66" spans="1:12" ht="10.8" thickBot="1" x14ac:dyDescent="0.35">
      <c r="A66" s="9"/>
      <c r="B66" s="9"/>
      <c r="C66" s="7"/>
      <c r="D66" s="4"/>
      <c r="E66" s="4"/>
      <c r="F66" s="4"/>
      <c r="G66" s="29"/>
      <c r="H66" s="4"/>
      <c r="I66" s="4"/>
      <c r="J66" s="4"/>
      <c r="K66" s="82"/>
      <c r="L66" s="82"/>
    </row>
    <row r="67" spans="1:12" ht="10.8" thickBot="1" x14ac:dyDescent="0.35">
      <c r="A67" s="55" t="s">
        <v>14</v>
      </c>
      <c r="B67" s="57" t="s">
        <v>26</v>
      </c>
      <c r="C67" s="15"/>
      <c r="D67" s="15"/>
      <c r="E67" s="15"/>
      <c r="F67" s="24" t="s">
        <v>0</v>
      </c>
      <c r="G67" s="25"/>
      <c r="H67" s="74"/>
      <c r="I67" s="74"/>
      <c r="J67" s="74"/>
      <c r="K67" s="82"/>
      <c r="L67" s="82"/>
    </row>
    <row r="68" spans="1:12" ht="30.6" x14ac:dyDescent="0.3">
      <c r="A68" s="14"/>
      <c r="B68" s="14" t="s">
        <v>13</v>
      </c>
      <c r="C68" s="11" t="s">
        <v>1</v>
      </c>
      <c r="D68" s="5" t="s">
        <v>5</v>
      </c>
      <c r="E68" s="5" t="s">
        <v>3</v>
      </c>
      <c r="F68" s="12" t="s">
        <v>12</v>
      </c>
      <c r="G68" s="23" t="s">
        <v>4</v>
      </c>
      <c r="H68" s="74" t="s">
        <v>39</v>
      </c>
      <c r="I68" s="78" t="s">
        <v>38</v>
      </c>
      <c r="J68" s="74" t="s">
        <v>42</v>
      </c>
      <c r="K68" s="82"/>
      <c r="L68" s="82"/>
    </row>
    <row r="69" spans="1:12" ht="10.199999999999999" x14ac:dyDescent="0.3">
      <c r="A69" s="13"/>
      <c r="B69" s="67" t="s">
        <v>34</v>
      </c>
      <c r="C69" s="68">
        <v>489</v>
      </c>
      <c r="D69" s="68">
        <v>5494878</v>
      </c>
      <c r="E69" s="1">
        <f>D69*3.5%</f>
        <v>192320.73</v>
      </c>
      <c r="F69" s="1">
        <v>560553.6</v>
      </c>
      <c r="G69" s="103">
        <f t="shared" ref="G69:G72" si="17">F69/D69</f>
        <v>0.10201383906976642</v>
      </c>
      <c r="H69" s="1">
        <v>575402.49</v>
      </c>
      <c r="I69" s="1">
        <v>303093.95999999996</v>
      </c>
      <c r="J69" s="1">
        <v>120560.52</v>
      </c>
      <c r="K69" s="82"/>
      <c r="L69" s="82"/>
    </row>
    <row r="70" spans="1:12" s="81" customFormat="1" ht="10.199999999999999" x14ac:dyDescent="0.3">
      <c r="A70" s="13"/>
      <c r="B70" s="87" t="s">
        <v>70</v>
      </c>
      <c r="C70" s="88">
        <v>491</v>
      </c>
      <c r="D70" s="88">
        <v>5494447</v>
      </c>
      <c r="E70" s="1">
        <f t="shared" ref="E70:E71" si="18">D70*3.5%</f>
        <v>192305.64500000002</v>
      </c>
      <c r="F70" s="1">
        <v>413812.74000000005</v>
      </c>
      <c r="G70" s="103">
        <f t="shared" si="17"/>
        <v>7.5314720480514241E-2</v>
      </c>
      <c r="H70" s="1">
        <v>414652.82000000007</v>
      </c>
      <c r="I70" s="1">
        <v>309461.12</v>
      </c>
      <c r="J70" s="1">
        <v>52095</v>
      </c>
      <c r="K70" s="89"/>
      <c r="L70" s="89"/>
    </row>
    <row r="71" spans="1:12" s="81" customFormat="1" ht="10.199999999999999" x14ac:dyDescent="0.3">
      <c r="A71" s="91"/>
      <c r="B71" s="98" t="s">
        <v>71</v>
      </c>
      <c r="C71" s="99">
        <v>494</v>
      </c>
      <c r="D71" s="99">
        <v>5493653</v>
      </c>
      <c r="E71" s="1">
        <f t="shared" si="18"/>
        <v>192277.85500000001</v>
      </c>
      <c r="F71" s="1">
        <v>385814.34</v>
      </c>
      <c r="G71" s="106">
        <f t="shared" si="17"/>
        <v>7.0229106206744413E-2</v>
      </c>
      <c r="H71" s="94">
        <v>389190.8</v>
      </c>
      <c r="I71" s="94">
        <v>225877.09</v>
      </c>
      <c r="J71" s="94">
        <v>41684.479999999996</v>
      </c>
      <c r="K71" s="89"/>
      <c r="L71" s="89"/>
    </row>
    <row r="72" spans="1:12" ht="10.8" thickBot="1" x14ac:dyDescent="0.35">
      <c r="A72" s="3"/>
      <c r="B72" s="3" t="s">
        <v>11</v>
      </c>
      <c r="C72" s="40">
        <f>SUM(C69:C71)</f>
        <v>1474</v>
      </c>
      <c r="D72" s="6">
        <f>SUM(D69:D71)</f>
        <v>16482978</v>
      </c>
      <c r="E72" s="6">
        <f>SUM(E69:E71)</f>
        <v>576904.23</v>
      </c>
      <c r="F72" s="2">
        <f>SUM(F69:F71)</f>
        <v>1360180.6800000002</v>
      </c>
      <c r="G72" s="107">
        <f t="shared" si="17"/>
        <v>8.2520323693934444E-2</v>
      </c>
      <c r="H72" s="77"/>
      <c r="I72" s="77"/>
      <c r="J72" s="77"/>
      <c r="K72" s="82"/>
      <c r="L72" s="82"/>
    </row>
    <row r="73" spans="1:12" ht="10.199999999999999" x14ac:dyDescent="0.3">
      <c r="A73" s="9"/>
      <c r="B73" s="9"/>
      <c r="C73" s="7"/>
      <c r="D73" s="4"/>
      <c r="E73" s="4"/>
      <c r="F73" s="4"/>
      <c r="G73" s="29"/>
      <c r="H73" s="4"/>
      <c r="I73" s="4"/>
      <c r="J73" s="4"/>
      <c r="K73" s="82"/>
      <c r="L73" s="82"/>
    </row>
    <row r="74" spans="1:12" ht="10.8" thickBot="1" x14ac:dyDescent="0.35">
      <c r="A74" s="56"/>
      <c r="G74" s="66"/>
      <c r="I74" s="65"/>
      <c r="J74" s="65"/>
      <c r="K74" s="82"/>
      <c r="L74" s="82"/>
    </row>
    <row r="75" spans="1:12" ht="10.8" thickBot="1" x14ac:dyDescent="0.35">
      <c r="A75" s="55" t="s">
        <v>14</v>
      </c>
      <c r="B75" s="57" t="s">
        <v>25</v>
      </c>
      <c r="C75" s="15"/>
      <c r="D75" s="15"/>
      <c r="E75" s="15"/>
      <c r="F75" s="24" t="s">
        <v>0</v>
      </c>
      <c r="G75" s="27">
        <v>0.12</v>
      </c>
      <c r="H75" s="74"/>
      <c r="I75" s="74"/>
      <c r="J75" s="74"/>
      <c r="K75" s="82"/>
      <c r="L75" s="82"/>
    </row>
    <row r="76" spans="1:12" ht="30.6" x14ac:dyDescent="0.3">
      <c r="A76" s="20"/>
      <c r="B76" s="14" t="s">
        <v>13</v>
      </c>
      <c r="C76" s="11" t="s">
        <v>1</v>
      </c>
      <c r="D76" s="5" t="s">
        <v>2</v>
      </c>
      <c r="E76" s="5" t="s">
        <v>3</v>
      </c>
      <c r="F76" s="12" t="s">
        <v>4</v>
      </c>
      <c r="G76" s="23" t="s">
        <v>4</v>
      </c>
      <c r="H76" s="74" t="s">
        <v>39</v>
      </c>
      <c r="I76" s="78" t="s">
        <v>38</v>
      </c>
      <c r="J76" s="74" t="s">
        <v>42</v>
      </c>
      <c r="K76" s="82"/>
      <c r="L76" s="82"/>
    </row>
    <row r="77" spans="1:12" ht="10.199999999999999" x14ac:dyDescent="0.3">
      <c r="A77" s="13">
        <v>0</v>
      </c>
      <c r="B77" s="13" t="s">
        <v>24</v>
      </c>
      <c r="C77" s="10">
        <v>286</v>
      </c>
      <c r="D77" s="1">
        <v>1038947</v>
      </c>
      <c r="E77" s="1">
        <f>D77*12%</f>
        <v>124673.64</v>
      </c>
      <c r="F77" s="1">
        <v>214462.01</v>
      </c>
      <c r="G77" s="103">
        <f>F77/D77</f>
        <v>0.20642247390867871</v>
      </c>
      <c r="H77" s="1">
        <v>291889.41000000003</v>
      </c>
      <c r="I77" s="1">
        <v>39326.33</v>
      </c>
      <c r="J77" s="1">
        <v>91514.08</v>
      </c>
      <c r="K77" s="82"/>
      <c r="L77" s="82"/>
    </row>
    <row r="78" spans="1:12" ht="10.199999999999999" x14ac:dyDescent="0.3">
      <c r="A78" s="13">
        <v>0</v>
      </c>
      <c r="B78" s="13" t="s">
        <v>72</v>
      </c>
      <c r="C78" s="10">
        <v>297</v>
      </c>
      <c r="D78" s="1">
        <v>1030116</v>
      </c>
      <c r="E78" s="1">
        <f t="shared" ref="E78" si="19">D78*12%</f>
        <v>123613.92</v>
      </c>
      <c r="F78" s="1">
        <v>139462.44</v>
      </c>
      <c r="G78" s="103">
        <f t="shared" ref="G78:G79" si="20">F78/D78</f>
        <v>0.13538517992148458</v>
      </c>
      <c r="H78" s="1">
        <v>158889.72999999998</v>
      </c>
      <c r="I78" s="1">
        <v>25688.91</v>
      </c>
      <c r="J78" s="1">
        <v>23597.32</v>
      </c>
      <c r="K78" s="82"/>
      <c r="L78" s="82"/>
    </row>
    <row r="79" spans="1:12" ht="10.8" thickBot="1" x14ac:dyDescent="0.35">
      <c r="A79" s="16"/>
      <c r="B79" s="16" t="s">
        <v>11</v>
      </c>
      <c r="C79" s="19">
        <f>SUM(C77:C78)</f>
        <v>583</v>
      </c>
      <c r="D79" s="17">
        <f>SUM(D77:D78)</f>
        <v>2069063</v>
      </c>
      <c r="E79" s="17">
        <f>SUM(E77:E78)</f>
        <v>248287.56</v>
      </c>
      <c r="F79" s="18">
        <f>SUM(F77:F78)</f>
        <v>353924.45</v>
      </c>
      <c r="G79" s="108">
        <f t="shared" si="20"/>
        <v>0.17105542460524403</v>
      </c>
      <c r="H79" s="76"/>
      <c r="I79" s="76"/>
      <c r="J79" s="76"/>
      <c r="K79" s="82"/>
      <c r="L79" s="82"/>
    </row>
    <row r="80" spans="1:12" ht="10.199999999999999" x14ac:dyDescent="0.3">
      <c r="A80" s="9"/>
      <c r="B80" s="9"/>
      <c r="C80" s="7"/>
      <c r="D80" s="4"/>
      <c r="E80" s="4"/>
      <c r="F80" s="4"/>
      <c r="G80" s="29"/>
      <c r="H80" s="4"/>
      <c r="I80" s="4"/>
      <c r="J80" s="4"/>
      <c r="K80" s="82"/>
      <c r="L80" s="82"/>
    </row>
    <row r="81" spans="1:12" ht="10.8" thickBot="1" x14ac:dyDescent="0.35">
      <c r="A81" s="9"/>
      <c r="B81" s="9"/>
      <c r="C81" s="7"/>
      <c r="D81" s="4"/>
      <c r="E81" s="4"/>
      <c r="F81" s="4"/>
      <c r="G81" s="29"/>
      <c r="H81" s="4"/>
      <c r="I81" s="4"/>
      <c r="J81" s="4"/>
      <c r="K81" s="82"/>
      <c r="L81" s="82"/>
    </row>
    <row r="82" spans="1:12" ht="10.8" thickBot="1" x14ac:dyDescent="0.35">
      <c r="A82" s="55" t="s">
        <v>14</v>
      </c>
      <c r="B82" s="57" t="s">
        <v>55</v>
      </c>
      <c r="C82" s="15"/>
      <c r="D82" s="15"/>
      <c r="E82" s="15"/>
      <c r="F82" s="24" t="s">
        <v>0</v>
      </c>
      <c r="G82" s="25"/>
      <c r="H82" s="74"/>
      <c r="I82" s="74"/>
      <c r="J82" s="74"/>
      <c r="K82" s="74"/>
      <c r="L82" s="82"/>
    </row>
    <row r="83" spans="1:12" ht="20.399999999999999" x14ac:dyDescent="0.3">
      <c r="A83" s="20"/>
      <c r="B83" s="14" t="s">
        <v>13</v>
      </c>
      <c r="C83" s="11" t="s">
        <v>1</v>
      </c>
      <c r="D83" s="5" t="s">
        <v>15</v>
      </c>
      <c r="E83" s="5" t="s">
        <v>3</v>
      </c>
      <c r="F83" s="12" t="s">
        <v>9</v>
      </c>
      <c r="G83" s="23" t="s">
        <v>10</v>
      </c>
      <c r="H83" s="74" t="s">
        <v>39</v>
      </c>
      <c r="I83" s="78" t="s">
        <v>38</v>
      </c>
      <c r="J83" s="74" t="s">
        <v>42</v>
      </c>
      <c r="K83" s="78" t="s">
        <v>54</v>
      </c>
      <c r="L83" s="82"/>
    </row>
    <row r="84" spans="1:12" ht="10.199999999999999" x14ac:dyDescent="0.3">
      <c r="A84" s="13">
        <v>0</v>
      </c>
      <c r="B84" s="8" t="s">
        <v>35</v>
      </c>
      <c r="C84" s="10">
        <v>498</v>
      </c>
      <c r="D84" s="1">
        <v>14266841</v>
      </c>
      <c r="E84" s="1">
        <f>D84*1%</f>
        <v>142668.41</v>
      </c>
      <c r="F84" s="1">
        <v>92959.98000000001</v>
      </c>
      <c r="G84" s="35">
        <f>F84/D84</f>
        <v>6.515806827874511E-3</v>
      </c>
      <c r="H84" s="1">
        <v>96063.200000000012</v>
      </c>
      <c r="I84" s="1">
        <v>18123.53</v>
      </c>
      <c r="J84" s="1">
        <v>47532.800000000003</v>
      </c>
      <c r="K84" s="1">
        <f>H84-J84</f>
        <v>48530.400000000009</v>
      </c>
      <c r="L84" s="82"/>
    </row>
    <row r="85" spans="1:12" ht="10.199999999999999" x14ac:dyDescent="0.3">
      <c r="A85" s="13">
        <v>0</v>
      </c>
      <c r="B85" s="8" t="s">
        <v>73</v>
      </c>
      <c r="C85" s="10">
        <v>511</v>
      </c>
      <c r="D85" s="1">
        <v>14268367</v>
      </c>
      <c r="E85" s="1">
        <f>D85*1%</f>
        <v>142683.67000000001</v>
      </c>
      <c r="F85" s="1">
        <v>129394.17</v>
      </c>
      <c r="G85" s="35">
        <f t="shared" ref="G85" si="21">F85/D85</f>
        <v>9.0686039965190129E-3</v>
      </c>
      <c r="H85" s="1">
        <v>133416.32000000001</v>
      </c>
      <c r="I85" s="1">
        <v>59049.520000000004</v>
      </c>
      <c r="J85" s="1">
        <v>42120</v>
      </c>
      <c r="K85" s="1">
        <f>H85-J85</f>
        <v>91296.320000000007</v>
      </c>
      <c r="L85" s="82"/>
    </row>
    <row r="86" spans="1:12" ht="10.8" thickBot="1" x14ac:dyDescent="0.35">
      <c r="A86" s="3"/>
      <c r="B86" s="3" t="s">
        <v>11</v>
      </c>
      <c r="C86" s="40"/>
      <c r="D86" s="6"/>
      <c r="E86" s="6"/>
      <c r="F86" s="2"/>
      <c r="G86" s="37"/>
      <c r="H86" s="77"/>
      <c r="I86" s="77"/>
      <c r="J86" s="77"/>
      <c r="K86" s="77">
        <f>SUM(K84:K85)</f>
        <v>139826.72000000003</v>
      </c>
      <c r="L86" s="82"/>
    </row>
    <row r="87" spans="1:12" ht="10.199999999999999" x14ac:dyDescent="0.3">
      <c r="A87" s="9"/>
      <c r="B87" s="9"/>
      <c r="C87" s="7"/>
      <c r="D87" s="4"/>
      <c r="E87" s="4"/>
      <c r="F87" s="4"/>
      <c r="G87" s="29"/>
      <c r="H87" s="4"/>
      <c r="I87" s="4"/>
      <c r="J87" s="4"/>
      <c r="K87" s="82"/>
      <c r="L87" s="82"/>
    </row>
    <row r="88" spans="1:12" ht="10.8" thickBot="1" x14ac:dyDescent="0.35">
      <c r="A88" s="56"/>
      <c r="G88" s="66"/>
      <c r="I88" s="65"/>
      <c r="J88" s="65"/>
      <c r="K88" s="82"/>
      <c r="L88" s="82"/>
    </row>
    <row r="89" spans="1:12" ht="10.8" thickBot="1" x14ac:dyDescent="0.35">
      <c r="A89" s="55" t="s">
        <v>14</v>
      </c>
      <c r="B89" s="57" t="s">
        <v>52</v>
      </c>
      <c r="C89" s="15"/>
      <c r="D89" s="15"/>
      <c r="E89" s="15"/>
      <c r="F89" s="24" t="s">
        <v>0</v>
      </c>
      <c r="G89" s="25"/>
      <c r="H89" s="74"/>
      <c r="I89" s="74"/>
      <c r="J89" s="74"/>
      <c r="K89" s="74"/>
      <c r="L89" s="82"/>
    </row>
    <row r="90" spans="1:12" ht="20.399999999999999" x14ac:dyDescent="0.3">
      <c r="A90" s="20" t="s">
        <v>14</v>
      </c>
      <c r="B90" s="14" t="s">
        <v>13</v>
      </c>
      <c r="C90" s="11" t="s">
        <v>1</v>
      </c>
      <c r="D90" s="5" t="s">
        <v>8</v>
      </c>
      <c r="E90" s="5" t="s">
        <v>6</v>
      </c>
      <c r="F90" s="12" t="s">
        <v>9</v>
      </c>
      <c r="G90" s="23" t="s">
        <v>10</v>
      </c>
      <c r="H90" s="74" t="s">
        <v>39</v>
      </c>
      <c r="I90" s="78" t="s">
        <v>38</v>
      </c>
      <c r="J90" s="74" t="s">
        <v>42</v>
      </c>
      <c r="K90" s="78" t="s">
        <v>54</v>
      </c>
      <c r="L90" s="82"/>
    </row>
    <row r="91" spans="1:12" ht="10.199999999999999" x14ac:dyDescent="0.3">
      <c r="A91" s="13"/>
      <c r="B91" s="13" t="s">
        <v>49</v>
      </c>
      <c r="C91" s="10">
        <v>690</v>
      </c>
      <c r="D91" s="1">
        <v>14127043</v>
      </c>
      <c r="E91" s="1">
        <v>350000</v>
      </c>
      <c r="F91" s="1">
        <v>410387.87999999995</v>
      </c>
      <c r="G91" s="103">
        <f t="shared" ref="G91:G101" si="22">F91/D91</f>
        <v>2.9049807521644828E-2</v>
      </c>
      <c r="H91" s="1">
        <v>432229.73</v>
      </c>
      <c r="I91" s="1">
        <v>155566.37999999998</v>
      </c>
      <c r="J91" s="1">
        <v>136609.60000000001</v>
      </c>
      <c r="K91" s="1">
        <f>H91-J91</f>
        <v>295620.13</v>
      </c>
      <c r="L91" s="82"/>
    </row>
    <row r="92" spans="1:12" ht="10.199999999999999" x14ac:dyDescent="0.3">
      <c r="A92" s="13"/>
      <c r="B92" s="13" t="s">
        <v>40</v>
      </c>
      <c r="C92" s="10">
        <v>703</v>
      </c>
      <c r="D92" s="1">
        <v>14125455</v>
      </c>
      <c r="E92" s="1">
        <v>350000</v>
      </c>
      <c r="F92" s="1">
        <v>477467.81</v>
      </c>
      <c r="G92" s="103">
        <f t="shared" si="22"/>
        <v>3.3801941955144098E-2</v>
      </c>
      <c r="H92" s="1">
        <v>483103.01999999996</v>
      </c>
      <c r="I92" s="1">
        <v>235193.36</v>
      </c>
      <c r="J92" s="1">
        <v>134590.84</v>
      </c>
      <c r="K92" s="1">
        <f t="shared" ref="K92:K100" si="23">H92-J92</f>
        <v>348512.17999999993</v>
      </c>
      <c r="L92" s="82"/>
    </row>
    <row r="93" spans="1:12" ht="10.199999999999999" x14ac:dyDescent="0.3">
      <c r="A93" s="13"/>
      <c r="B93" s="13" t="s">
        <v>29</v>
      </c>
      <c r="C93" s="10">
        <v>696</v>
      </c>
      <c r="D93" s="1">
        <v>14126713</v>
      </c>
      <c r="E93" s="1">
        <v>350000</v>
      </c>
      <c r="F93" s="1">
        <v>443024.85</v>
      </c>
      <c r="G93" s="103">
        <f t="shared" si="22"/>
        <v>3.1360787891705592E-2</v>
      </c>
      <c r="H93" s="1">
        <v>447546.93</v>
      </c>
      <c r="I93" s="1">
        <v>197165.21999999997</v>
      </c>
      <c r="J93" s="1">
        <v>144363.63</v>
      </c>
      <c r="K93" s="1">
        <f t="shared" si="23"/>
        <v>303183.3</v>
      </c>
      <c r="L93" s="82"/>
    </row>
    <row r="94" spans="1:12" ht="10.199999999999999" x14ac:dyDescent="0.3">
      <c r="A94" s="13"/>
      <c r="B94" s="13" t="s">
        <v>50</v>
      </c>
      <c r="C94" s="10">
        <v>693</v>
      </c>
      <c r="D94" s="1">
        <v>14126723</v>
      </c>
      <c r="E94" s="1">
        <v>350000</v>
      </c>
      <c r="F94" s="1">
        <v>428540.81</v>
      </c>
      <c r="G94" s="103">
        <f t="shared" si="22"/>
        <v>3.0335471998707696E-2</v>
      </c>
      <c r="H94" s="1">
        <v>445227.08999999997</v>
      </c>
      <c r="I94" s="1">
        <v>244531.23</v>
      </c>
      <c r="J94" s="1">
        <v>109207.68000000001</v>
      </c>
      <c r="K94" s="1">
        <f t="shared" si="23"/>
        <v>336019.41</v>
      </c>
      <c r="L94" s="82"/>
    </row>
    <row r="95" spans="1:12" ht="10.199999999999999" x14ac:dyDescent="0.3">
      <c r="A95" s="13"/>
      <c r="B95" s="13" t="s">
        <v>48</v>
      </c>
      <c r="C95" s="10">
        <v>696</v>
      </c>
      <c r="D95" s="1">
        <v>14126375</v>
      </c>
      <c r="E95" s="1">
        <v>350000</v>
      </c>
      <c r="F95" s="1">
        <v>531503.80999999994</v>
      </c>
      <c r="G95" s="103">
        <f t="shared" si="22"/>
        <v>3.7624925715195864E-2</v>
      </c>
      <c r="H95" s="1">
        <v>544000.67000000016</v>
      </c>
      <c r="I95" s="1">
        <v>252169.61</v>
      </c>
      <c r="J95" s="1">
        <v>175481</v>
      </c>
      <c r="K95" s="1">
        <f t="shared" si="23"/>
        <v>368519.67000000016</v>
      </c>
      <c r="L95" s="82"/>
    </row>
    <row r="96" spans="1:12" ht="10.199999999999999" x14ac:dyDescent="0.3">
      <c r="A96" s="13"/>
      <c r="B96" s="13" t="s">
        <v>36</v>
      </c>
      <c r="C96" s="10">
        <v>693</v>
      </c>
      <c r="D96" s="1">
        <v>14125991</v>
      </c>
      <c r="E96" s="1">
        <v>350000</v>
      </c>
      <c r="F96" s="1">
        <v>473818.00999999995</v>
      </c>
      <c r="G96" s="103">
        <f t="shared" si="22"/>
        <v>3.354228457316729E-2</v>
      </c>
      <c r="H96" s="1">
        <v>480277.75</v>
      </c>
      <c r="I96" s="1">
        <v>366817</v>
      </c>
      <c r="J96" s="1">
        <v>58095.359999999993</v>
      </c>
      <c r="K96" s="1">
        <f t="shared" si="23"/>
        <v>422182.39</v>
      </c>
      <c r="L96" s="82"/>
    </row>
    <row r="97" spans="1:12" ht="10.199999999999999" x14ac:dyDescent="0.3">
      <c r="A97" s="13"/>
      <c r="B97" s="13" t="s">
        <v>51</v>
      </c>
      <c r="C97" s="10">
        <v>705</v>
      </c>
      <c r="D97" s="10">
        <v>14126465</v>
      </c>
      <c r="E97" s="1">
        <v>350000</v>
      </c>
      <c r="F97" s="1">
        <v>456459.56000000006</v>
      </c>
      <c r="G97" s="103">
        <f t="shared" si="22"/>
        <v>3.2312369725901E-2</v>
      </c>
      <c r="H97" s="1">
        <v>464273.02</v>
      </c>
      <c r="I97" s="1">
        <v>275188.99000000005</v>
      </c>
      <c r="J97" s="1">
        <v>112434.70999999999</v>
      </c>
      <c r="K97" s="1">
        <f t="shared" si="23"/>
        <v>351838.31000000006</v>
      </c>
      <c r="L97" s="82"/>
    </row>
    <row r="98" spans="1:12" ht="10.199999999999999" x14ac:dyDescent="0.3">
      <c r="A98" s="13"/>
      <c r="B98" s="13" t="s">
        <v>41</v>
      </c>
      <c r="C98" s="10">
        <v>704</v>
      </c>
      <c r="D98" s="1">
        <v>14126576</v>
      </c>
      <c r="E98" s="1">
        <v>350000</v>
      </c>
      <c r="F98" s="1">
        <v>430513.66000000009</v>
      </c>
      <c r="G98" s="103">
        <f t="shared" si="22"/>
        <v>3.0475442881558849E-2</v>
      </c>
      <c r="H98" s="1">
        <v>433635.40000000008</v>
      </c>
      <c r="I98" s="1">
        <v>226832.06999999998</v>
      </c>
      <c r="J98" s="1">
        <v>124310.73</v>
      </c>
      <c r="K98" s="1">
        <f t="shared" si="23"/>
        <v>309324.6700000001</v>
      </c>
      <c r="L98" s="82"/>
    </row>
    <row r="99" spans="1:12" ht="10.199999999999999" x14ac:dyDescent="0.3">
      <c r="A99" s="13"/>
      <c r="B99" s="13" t="s">
        <v>74</v>
      </c>
      <c r="C99" s="10">
        <v>710</v>
      </c>
      <c r="D99" s="1">
        <v>14126639</v>
      </c>
      <c r="E99" s="1">
        <v>350000</v>
      </c>
      <c r="F99" s="1">
        <v>390280.52999999997</v>
      </c>
      <c r="G99" s="103">
        <f t="shared" si="22"/>
        <v>2.7627274258229431E-2</v>
      </c>
      <c r="H99" s="1">
        <v>417884.93999999994</v>
      </c>
      <c r="I99" s="1">
        <v>244253.25</v>
      </c>
      <c r="J99" s="1">
        <v>95971.72</v>
      </c>
      <c r="K99" s="1">
        <f t="shared" si="23"/>
        <v>321913.21999999997</v>
      </c>
      <c r="L99" s="82"/>
    </row>
    <row r="100" spans="1:12" ht="10.199999999999999" x14ac:dyDescent="0.3">
      <c r="A100" s="13"/>
      <c r="B100" s="13" t="s">
        <v>75</v>
      </c>
      <c r="C100" s="10">
        <v>698</v>
      </c>
      <c r="D100" s="10">
        <v>14126626</v>
      </c>
      <c r="E100" s="1">
        <v>350000</v>
      </c>
      <c r="F100" s="1">
        <v>377995.09</v>
      </c>
      <c r="G100" s="103">
        <f t="shared" si="22"/>
        <v>2.6757634130046341E-2</v>
      </c>
      <c r="H100" s="1">
        <v>389905.49999999994</v>
      </c>
      <c r="I100" s="1">
        <v>276750.11</v>
      </c>
      <c r="J100" s="1">
        <v>63601.65</v>
      </c>
      <c r="K100" s="1">
        <f t="shared" si="23"/>
        <v>326303.84999999992</v>
      </c>
      <c r="L100" s="82"/>
    </row>
    <row r="101" spans="1:12" ht="10.8" thickBot="1" x14ac:dyDescent="0.35">
      <c r="A101" s="3"/>
      <c r="B101" s="3"/>
      <c r="C101" s="40">
        <f>SUM(C91:C100)</f>
        <v>6988</v>
      </c>
      <c r="D101" s="40">
        <f>SUM(D91:D100)</f>
        <v>141264606</v>
      </c>
      <c r="E101" s="40">
        <f>SUM(E91:E100)</f>
        <v>3500000</v>
      </c>
      <c r="F101" s="2">
        <f>SUM(F91:F100)</f>
        <v>4419992.01</v>
      </c>
      <c r="G101" s="107">
        <f t="shared" si="22"/>
        <v>3.1288743409654929E-2</v>
      </c>
      <c r="H101" s="77">
        <f>SUM(H91:H100)</f>
        <v>4538084.05</v>
      </c>
      <c r="I101" s="77">
        <f>SUM(I91:I100)</f>
        <v>2474467.2199999997</v>
      </c>
      <c r="J101" s="77">
        <f>SUM(J91:J100)</f>
        <v>1154666.92</v>
      </c>
      <c r="K101" s="77">
        <f>SUM(K91:K100)</f>
        <v>3383417.1300000004</v>
      </c>
      <c r="L101" s="82"/>
    </row>
    <row r="102" spans="1:12" ht="15" thickBot="1" x14ac:dyDescent="0.35">
      <c r="B102" s="9"/>
      <c r="C102" s="7"/>
      <c r="D102" s="7"/>
      <c r="E102" s="7"/>
      <c r="F102" s="4"/>
      <c r="G102" s="29"/>
      <c r="H102" s="4"/>
      <c r="I102" s="4"/>
      <c r="J102" s="83"/>
      <c r="K102" s="82"/>
      <c r="L102" s="82"/>
    </row>
    <row r="103" spans="1:12" ht="15" thickBot="1" x14ac:dyDescent="0.35">
      <c r="B103" s="61" t="s">
        <v>20</v>
      </c>
      <c r="C103" s="15"/>
      <c r="D103" s="15"/>
      <c r="E103" s="15"/>
      <c r="F103" s="15"/>
      <c r="G103" s="22"/>
      <c r="H103" s="15"/>
      <c r="I103" s="15"/>
      <c r="J103" s="83"/>
      <c r="K103" s="82"/>
      <c r="L103" s="82"/>
    </row>
    <row r="104" spans="1:12" ht="15" thickBot="1" x14ac:dyDescent="0.35">
      <c r="B104" s="63" t="s">
        <v>21</v>
      </c>
      <c r="C104" s="21"/>
      <c r="D104" s="21"/>
      <c r="E104" s="21"/>
      <c r="F104" s="21"/>
      <c r="G104" s="22"/>
      <c r="H104" s="21"/>
      <c r="I104" s="21"/>
      <c r="J104" s="83"/>
      <c r="K104" s="82"/>
      <c r="L104" s="82"/>
    </row>
    <row r="105" spans="1:12" ht="18" x14ac:dyDescent="0.3">
      <c r="B105" s="62"/>
      <c r="D105" s="62"/>
      <c r="E105" s="62"/>
      <c r="F105" s="62"/>
      <c r="G105" s="62"/>
      <c r="H105" s="62"/>
      <c r="I105" s="62"/>
      <c r="J105" s="100"/>
      <c r="K105" s="101"/>
      <c r="L105" s="101"/>
    </row>
    <row r="106" spans="1:12" x14ac:dyDescent="0.3">
      <c r="B106" s="62"/>
      <c r="D106" s="62"/>
      <c r="E106" s="62"/>
      <c r="F106" s="62"/>
      <c r="G106" s="62"/>
      <c r="H106" s="62"/>
      <c r="I106" s="62"/>
      <c r="J106" s="60"/>
      <c r="K106" s="82"/>
      <c r="L106" s="82"/>
    </row>
    <row r="107" spans="1:12" x14ac:dyDescent="0.3">
      <c r="B107" s="62"/>
      <c r="D107" s="62"/>
      <c r="E107" s="62"/>
      <c r="F107" s="62"/>
      <c r="G107" s="62"/>
      <c r="H107" s="62"/>
      <c r="I107" s="62"/>
      <c r="J107" s="60"/>
      <c r="K107" s="82"/>
      <c r="L107" s="82"/>
    </row>
    <row r="108" spans="1:12" x14ac:dyDescent="0.3">
      <c r="B108" s="62"/>
      <c r="D108" s="62"/>
      <c r="E108" s="62"/>
      <c r="F108" s="62"/>
      <c r="G108" s="62"/>
      <c r="H108" s="62"/>
      <c r="I108" s="62"/>
      <c r="J108" s="60"/>
      <c r="K108" s="82"/>
      <c r="L108" s="82"/>
    </row>
    <row r="109" spans="1:12" x14ac:dyDescent="0.3">
      <c r="B109" s="62"/>
      <c r="D109" s="62"/>
      <c r="E109" s="62"/>
      <c r="F109" s="62"/>
      <c r="G109" s="62"/>
      <c r="H109" s="62"/>
      <c r="I109" s="62"/>
      <c r="J109" s="60"/>
      <c r="K109" s="82"/>
      <c r="L109" s="82"/>
    </row>
    <row r="110" spans="1:12" x14ac:dyDescent="0.3">
      <c r="B110" s="62"/>
      <c r="D110" s="62"/>
      <c r="E110" s="62"/>
      <c r="F110" s="62"/>
      <c r="G110" s="62"/>
      <c r="H110" s="62"/>
      <c r="I110" s="62"/>
      <c r="J110" s="60"/>
      <c r="K110" s="82"/>
      <c r="L110" s="82"/>
    </row>
    <row r="111" spans="1:12" x14ac:dyDescent="0.3">
      <c r="B111" s="62"/>
      <c r="D111" s="62"/>
      <c r="E111" s="62"/>
      <c r="F111" s="62"/>
      <c r="G111" s="62"/>
      <c r="H111" s="62"/>
      <c r="I111" s="62"/>
      <c r="J111" s="60"/>
      <c r="K111" s="82"/>
      <c r="L111" s="82"/>
    </row>
    <row r="112" spans="1:12" x14ac:dyDescent="0.3">
      <c r="H112" s="44"/>
      <c r="I112" s="65"/>
      <c r="J112" s="65"/>
    </row>
  </sheetData>
  <autoFilter ref="A90:M90" xr:uid="{5D4FAAAA-02AA-4B23-B8D4-1492661E783E}"/>
  <pageMargins left="0.25" right="0.25" top="0.75" bottom="0.75" header="0.3" footer="0.3"/>
  <pageSetup paperSize="9" scale="88" orientation="landscape" r:id="rId1"/>
  <headerFooter>
    <oddHeader>&amp;L&amp;"Tahoma,Regular"&amp;12&amp;K0000FFInternal&amp;C&amp;"Tahoma,Regular"&amp;12&amp;K00C000Public</oddHeader>
    <oddFooter>&amp;L&amp;"Tahoma,Regular"&amp;10&amp;K000000This message is marked &amp;K0000FFInternal&amp;K000000. Do not distribute to third parties without manager approval.</oddFooter>
    <evenHeader>&amp;L&amp;"Tahoma,Regular"&amp;12&amp;K0000FFInternal&amp;C&amp;"Tahoma,Regular"&amp;12&amp;K00C000Public</evenHeader>
    <evenFooter>&amp;L&amp;"Tahoma,Regular"&amp;10&amp;K000000This message is marked &amp;K0000FFInternal&amp;K000000. Do not distribute to third parties without manager approval.</evenFooter>
    <firstHeader>&amp;L&amp;"Tahoma,Regular"&amp;12&amp;K0000FFInternal&amp;C&amp;"Tahoma,Regular"&amp;12&amp;K00C000Public</firstHeader>
    <firstFooter>&amp;L&amp;"Tahoma,Regular"&amp;10&amp;K000000This message is marked &amp;K0000FFInternal&amp;K000000. Do not distribute to third parties without manager approval.</firstFooter>
  </headerFooter>
  <rowBreaks count="1" manualBreakCount="1">
    <brk id="73" min="1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65ad6c44-877d-4605-b4fa-a0dc2deffa9f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7A7F9987-ADDF-44A2-A28D-F68D9A81552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Retail (2)</vt:lpstr>
      <vt:lpstr>'Retail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Sayed Ahmed</dc:creator>
  <cp:lastModifiedBy>Mahmoud Sayed Ahmed</cp:lastModifiedBy>
  <cp:lastPrinted>2025-04-30T07:08:55Z</cp:lastPrinted>
  <dcterms:created xsi:type="dcterms:W3CDTF">2024-03-17T10:37:54Z</dcterms:created>
  <dcterms:modified xsi:type="dcterms:W3CDTF">2026-04-02T05:11:43Z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95f5eb3e-0115-443f-9a04-5811dfb84917</vt:lpwstr>
  </property>
  <property fmtid="{D5CDD505-2E9C-101B-9397-08002B2CF9AE}" pid="3" name="bjSaver">
    <vt:lpwstr>0cpwtr55+5BCTXpc4dr8E1690UY/LZd7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policy="65ad6c44-877d-4605-b4fa-a0dc2deffa9f"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ClsUserRVM">
    <vt:lpwstr>[]</vt:lpwstr>
  </property>
  <property fmtid="{D5CDD505-2E9C-101B-9397-08002B2CF9AE}" pid="8" name="bjCentreHeaderLabel-first">
    <vt:lpwstr>&amp;"Tahoma,Regular"&amp;12&amp;K00C000Public</vt:lpwstr>
  </property>
  <property fmtid="{D5CDD505-2E9C-101B-9397-08002B2CF9AE}" pid="9" name="bjCentreHeaderLabel-even">
    <vt:lpwstr>&amp;"Tahoma,Regular"&amp;12&amp;K00C000Public</vt:lpwstr>
  </property>
  <property fmtid="{D5CDD505-2E9C-101B-9397-08002B2CF9AE}" pid="10" name="bjCentreHeaderLabel">
    <vt:lpwstr>&amp;"Tahoma,Regular"&amp;12&amp;K00C000Public</vt:lpwstr>
  </property>
  <property fmtid="{D5CDD505-2E9C-101B-9397-08002B2CF9AE}" pid="11" name="bjLeftHeaderLabel-first">
    <vt:lpwstr>&amp;"Tahoma,Regular"&amp;12&amp;K00C000Public</vt:lpwstr>
  </property>
  <property fmtid="{D5CDD505-2E9C-101B-9397-08002B2CF9AE}" pid="12" name="bjLeftHeaderLabel-even">
    <vt:lpwstr>&amp;"Tahoma,Regular"&amp;12&amp;K00C000Public</vt:lpwstr>
  </property>
  <property fmtid="{D5CDD505-2E9C-101B-9397-08002B2CF9AE}" pid="13" name="bjLeftHeaderLabel">
    <vt:lpwstr>&amp;"Tahoma,Regular"&amp;12&amp;K00C000Public</vt:lpwstr>
  </property>
</Properties>
</file>