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hmoud\Desktop\"/>
    </mc:Choice>
  </mc:AlternateContent>
  <xr:revisionPtr revIDLastSave="0" documentId="8_{31CF6EC4-70BC-423C-B5F9-5625B8DD54A9}" xr6:coauthVersionLast="47" xr6:coauthVersionMax="47" xr10:uidLastSave="{00000000-0000-0000-0000-000000000000}"/>
  <bookViews>
    <workbookView xWindow="-108" yWindow="-108" windowWidth="23256" windowHeight="12456" tabRatio="835" activeTab="1" xr2:uid="{00000000-000D-0000-FFFF-FFFF00000000}"/>
  </bookViews>
  <sheets>
    <sheet name="Activity" sheetId="1" r:id="rId1"/>
    <sheet name="Legal and Salary pullout" sheetId="4" r:id="rId2"/>
    <sheet name="Agent performance" sheetId="7" r:id="rId3"/>
    <sheet name="Call Report" sheetId="8" r:id="rId4"/>
  </sheets>
  <definedNames>
    <definedName name="_xlnm._FilterDatabase" localSheetId="2" hidden="1">'Agent performance'!#REF!</definedName>
    <definedName name="_xlnm.Print_Area" localSheetId="2">'Agent performance'!#REF!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9" i="1" l="1"/>
  <c r="AE19" i="1" s="1"/>
  <c r="AC19" i="1"/>
  <c r="AA19" i="1"/>
  <c r="Z19" i="1"/>
  <c r="X19" i="1"/>
  <c r="W19" i="1"/>
  <c r="V19" i="1"/>
  <c r="U19" i="1"/>
  <c r="T19" i="1"/>
  <c r="S19" i="1"/>
  <c r="R19" i="1"/>
  <c r="AE18" i="1"/>
  <c r="AB18" i="1"/>
  <c r="Y18" i="1"/>
  <c r="AE17" i="1"/>
  <c r="AB17" i="1"/>
  <c r="Y17" i="1"/>
  <c r="AE16" i="1"/>
  <c r="AB16" i="1"/>
  <c r="Y16" i="1"/>
  <c r="AE15" i="1"/>
  <c r="AB15" i="1"/>
  <c r="Y15" i="1"/>
  <c r="AB14" i="1"/>
  <c r="AD10" i="1"/>
  <c r="AC10" i="1"/>
  <c r="AA10" i="1"/>
  <c r="Z10" i="1"/>
  <c r="X10" i="1"/>
  <c r="W10" i="1"/>
  <c r="V10" i="1"/>
  <c r="U10" i="1"/>
  <c r="T10" i="1"/>
  <c r="S10" i="1"/>
  <c r="R10" i="1"/>
  <c r="AE9" i="1"/>
  <c r="AB9" i="1"/>
  <c r="Y9" i="1"/>
  <c r="AE8" i="1"/>
  <c r="AB8" i="1"/>
  <c r="Y8" i="1"/>
  <c r="AE7" i="1"/>
  <c r="AB7" i="1"/>
  <c r="Y7" i="1"/>
  <c r="AE6" i="1"/>
  <c r="AB6" i="1"/>
  <c r="Y6" i="1"/>
  <c r="AB5" i="1"/>
  <c r="Y10" i="1" l="1"/>
  <c r="AB10" i="1"/>
  <c r="Y19" i="1"/>
  <c r="AE10" i="1"/>
  <c r="AB19" i="1"/>
  <c r="W21" i="4" l="1"/>
  <c r="W16" i="4"/>
  <c r="AD38" i="1"/>
  <c r="AC38" i="1"/>
  <c r="X38" i="1"/>
  <c r="W38" i="1"/>
  <c r="V38" i="1"/>
  <c r="U38" i="1"/>
  <c r="T38" i="1"/>
  <c r="S38" i="1"/>
  <c r="R38" i="1"/>
  <c r="AE37" i="1"/>
  <c r="Y37" i="1"/>
  <c r="AE36" i="1"/>
  <c r="Y36" i="1"/>
  <c r="AE35" i="1"/>
  <c r="Y35" i="1"/>
  <c r="AE34" i="1"/>
  <c r="Y34" i="1"/>
  <c r="Y33" i="1"/>
  <c r="AD29" i="1"/>
  <c r="AC29" i="1"/>
  <c r="X29" i="1"/>
  <c r="W29" i="1"/>
  <c r="V29" i="1"/>
  <c r="U29" i="1"/>
  <c r="T29" i="1"/>
  <c r="S29" i="1"/>
  <c r="R29" i="1"/>
  <c r="AE28" i="1"/>
  <c r="Y28" i="1"/>
  <c r="AE27" i="1"/>
  <c r="Y27" i="1"/>
  <c r="AE26" i="1"/>
  <c r="Y26" i="1"/>
  <c r="AE25" i="1"/>
  <c r="Y25" i="1"/>
  <c r="Y24" i="1"/>
  <c r="N19" i="1"/>
  <c r="M19" i="1"/>
  <c r="K19" i="1"/>
  <c r="J19" i="1"/>
  <c r="H19" i="1"/>
  <c r="G19" i="1"/>
  <c r="F19" i="1"/>
  <c r="E19" i="1"/>
  <c r="D19" i="1"/>
  <c r="C19" i="1"/>
  <c r="B19" i="1"/>
  <c r="O18" i="1"/>
  <c r="L18" i="1"/>
  <c r="I18" i="1"/>
  <c r="O17" i="1"/>
  <c r="L17" i="1"/>
  <c r="I17" i="1"/>
  <c r="O16" i="1"/>
  <c r="L16" i="1"/>
  <c r="I16" i="1"/>
  <c r="O15" i="1"/>
  <c r="L15" i="1"/>
  <c r="I15" i="1"/>
  <c r="L14" i="1"/>
  <c r="I14" i="1"/>
  <c r="N10" i="1"/>
  <c r="M10" i="1"/>
  <c r="K10" i="1"/>
  <c r="J10" i="1"/>
  <c r="H10" i="1"/>
  <c r="G10" i="1"/>
  <c r="F10" i="1"/>
  <c r="E10" i="1"/>
  <c r="D10" i="1"/>
  <c r="C10" i="1"/>
  <c r="B10" i="1"/>
  <c r="O9" i="1"/>
  <c r="L9" i="1"/>
  <c r="I9" i="1"/>
  <c r="O8" i="1"/>
  <c r="L8" i="1"/>
  <c r="I8" i="1"/>
  <c r="O7" i="1"/>
  <c r="L7" i="1"/>
  <c r="I7" i="1"/>
  <c r="O6" i="1"/>
  <c r="L6" i="1"/>
  <c r="I6" i="1"/>
  <c r="L5" i="1"/>
  <c r="I5" i="1"/>
  <c r="AE38" i="1" l="1"/>
  <c r="I10" i="1"/>
  <c r="I19" i="1"/>
  <c r="AE29" i="1"/>
  <c r="O10" i="1"/>
  <c r="Y29" i="1"/>
  <c r="O19" i="1"/>
  <c r="Y38" i="1"/>
  <c r="L10" i="1"/>
  <c r="L19" i="1"/>
  <c r="F120" i="7"/>
  <c r="D120" i="7"/>
  <c r="C120" i="7"/>
  <c r="G119" i="7"/>
  <c r="E119" i="7"/>
  <c r="H119" i="7" s="1"/>
  <c r="G118" i="7"/>
  <c r="E118" i="7"/>
  <c r="H118" i="7" s="1"/>
  <c r="G117" i="7"/>
  <c r="E117" i="7"/>
  <c r="H117" i="7" s="1"/>
  <c r="G116" i="7"/>
  <c r="E116" i="7"/>
  <c r="E120" i="7" s="1"/>
  <c r="F110" i="7"/>
  <c r="H110" i="7" s="1"/>
  <c r="E110" i="7"/>
  <c r="D110" i="7"/>
  <c r="C110" i="7"/>
  <c r="G109" i="7"/>
  <c r="E109" i="7"/>
  <c r="H109" i="7" s="1"/>
  <c r="G108" i="7"/>
  <c r="E108" i="7"/>
  <c r="H108" i="7" s="1"/>
  <c r="G107" i="7"/>
  <c r="E107" i="7"/>
  <c r="H107" i="7" s="1"/>
  <c r="G106" i="7"/>
  <c r="E106" i="7"/>
  <c r="H106" i="7" s="1"/>
  <c r="F100" i="7"/>
  <c r="G100" i="7" s="1"/>
  <c r="E100" i="7"/>
  <c r="D100" i="7"/>
  <c r="C100" i="7"/>
  <c r="H99" i="7"/>
  <c r="G99" i="7"/>
  <c r="E99" i="7"/>
  <c r="G98" i="7"/>
  <c r="E98" i="7"/>
  <c r="H98" i="7" s="1"/>
  <c r="F93" i="7"/>
  <c r="G93" i="7" s="1"/>
  <c r="E93" i="7"/>
  <c r="D93" i="7"/>
  <c r="C93" i="7"/>
  <c r="F92" i="7"/>
  <c r="G92" i="7" s="1"/>
  <c r="E92" i="7"/>
  <c r="D92" i="7"/>
  <c r="C92" i="7"/>
  <c r="F90" i="7"/>
  <c r="G90" i="7" s="1"/>
  <c r="E90" i="7"/>
  <c r="D90" i="7"/>
  <c r="C90" i="7"/>
  <c r="H89" i="7"/>
  <c r="G89" i="7"/>
  <c r="H88" i="7"/>
  <c r="G88" i="7"/>
  <c r="H87" i="7"/>
  <c r="G87" i="7"/>
  <c r="H86" i="7"/>
  <c r="G86" i="7"/>
  <c r="H85" i="7"/>
  <c r="G85" i="7"/>
  <c r="H84" i="7"/>
  <c r="G84" i="7"/>
  <c r="F79" i="7"/>
  <c r="D79" i="7"/>
  <c r="C79" i="7"/>
  <c r="G78" i="7"/>
  <c r="E78" i="7"/>
  <c r="H78" i="7" s="1"/>
  <c r="G77" i="7"/>
  <c r="E77" i="7"/>
  <c r="H77" i="7" s="1"/>
  <c r="F71" i="7"/>
  <c r="H71" i="7" s="1"/>
  <c r="D71" i="7"/>
  <c r="C71" i="7"/>
  <c r="G70" i="7"/>
  <c r="E70" i="7"/>
  <c r="H70" i="7" s="1"/>
  <c r="G69" i="7"/>
  <c r="E69" i="7"/>
  <c r="E71" i="7" s="1"/>
  <c r="F63" i="7"/>
  <c r="D63" i="7"/>
  <c r="C63" i="7"/>
  <c r="G62" i="7"/>
  <c r="E62" i="7"/>
  <c r="H62" i="7" s="1"/>
  <c r="H61" i="7"/>
  <c r="G61" i="7"/>
  <c r="E61" i="7"/>
  <c r="F55" i="7"/>
  <c r="G55" i="7" s="1"/>
  <c r="D55" i="7"/>
  <c r="C55" i="7"/>
  <c r="F54" i="7"/>
  <c r="G54" i="7" s="1"/>
  <c r="D54" i="7"/>
  <c r="C54" i="7"/>
  <c r="F52" i="7"/>
  <c r="H52" i="7" s="1"/>
  <c r="D52" i="7"/>
  <c r="C52" i="7"/>
  <c r="G51" i="7"/>
  <c r="E51" i="7"/>
  <c r="E52" i="7" s="1"/>
  <c r="H50" i="7"/>
  <c r="G50" i="7"/>
  <c r="E50" i="7"/>
  <c r="G49" i="7"/>
  <c r="E49" i="7"/>
  <c r="H49" i="7" s="1"/>
  <c r="G48" i="7"/>
  <c r="E48" i="7"/>
  <c r="H48" i="7" s="1"/>
  <c r="G47" i="7"/>
  <c r="E47" i="7"/>
  <c r="H47" i="7" s="1"/>
  <c r="G41" i="7"/>
  <c r="I41" i="7" s="1"/>
  <c r="F41" i="7"/>
  <c r="H41" i="7" s="1"/>
  <c r="E41" i="7"/>
  <c r="D41" i="7"/>
  <c r="C41" i="7"/>
  <c r="G40" i="7"/>
  <c r="I40" i="7" s="1"/>
  <c r="F40" i="7"/>
  <c r="H40" i="7" s="1"/>
  <c r="D40" i="7"/>
  <c r="C40" i="7"/>
  <c r="G38" i="7"/>
  <c r="I38" i="7" s="1"/>
  <c r="D38" i="7"/>
  <c r="C38" i="7"/>
  <c r="I37" i="7"/>
  <c r="F37" i="7"/>
  <c r="H37" i="7" s="1"/>
  <c r="E37" i="7"/>
  <c r="I36" i="7"/>
  <c r="F36" i="7"/>
  <c r="H36" i="7" s="1"/>
  <c r="E36" i="7"/>
  <c r="I35" i="7"/>
  <c r="F35" i="7"/>
  <c r="H35" i="7" s="1"/>
  <c r="E35" i="7"/>
  <c r="I34" i="7"/>
  <c r="F34" i="7"/>
  <c r="H34" i="7" s="1"/>
  <c r="E34" i="7"/>
  <c r="E40" i="7" s="1"/>
  <c r="I33" i="7"/>
  <c r="F33" i="7"/>
  <c r="H33" i="7" s="1"/>
  <c r="E33" i="7"/>
  <c r="E38" i="7" s="1"/>
  <c r="G27" i="7"/>
  <c r="I27" i="7" s="1"/>
  <c r="E27" i="7"/>
  <c r="D27" i="7"/>
  <c r="C27" i="7"/>
  <c r="G26" i="7"/>
  <c r="I26" i="7" s="1"/>
  <c r="F26" i="7"/>
  <c r="H26" i="7" s="1"/>
  <c r="E26" i="7"/>
  <c r="D26" i="7"/>
  <c r="C26" i="7"/>
  <c r="G24" i="7"/>
  <c r="I24" i="7" s="1"/>
  <c r="D24" i="7"/>
  <c r="C24" i="7"/>
  <c r="I23" i="7"/>
  <c r="F23" i="7"/>
  <c r="H23" i="7" s="1"/>
  <c r="E23" i="7"/>
  <c r="I22" i="7"/>
  <c r="F22" i="7"/>
  <c r="H22" i="7" s="1"/>
  <c r="E22" i="7"/>
  <c r="I21" i="7"/>
  <c r="F21" i="7"/>
  <c r="H21" i="7" s="1"/>
  <c r="E21" i="7"/>
  <c r="I20" i="7"/>
  <c r="F20" i="7"/>
  <c r="H20" i="7" s="1"/>
  <c r="E20" i="7"/>
  <c r="I19" i="7"/>
  <c r="F19" i="7"/>
  <c r="H19" i="7" s="1"/>
  <c r="E19" i="7"/>
  <c r="E24" i="7" s="1"/>
  <c r="G13" i="7"/>
  <c r="I13" i="7" s="1"/>
  <c r="D13" i="7"/>
  <c r="C13" i="7"/>
  <c r="I12" i="7"/>
  <c r="F12" i="7"/>
  <c r="H12" i="7" s="1"/>
  <c r="E12" i="7"/>
  <c r="I11" i="7"/>
  <c r="F11" i="7"/>
  <c r="F13" i="7" s="1"/>
  <c r="H13" i="7" s="1"/>
  <c r="E11" i="7"/>
  <c r="E13" i="7" s="1"/>
  <c r="I10" i="7"/>
  <c r="H10" i="7"/>
  <c r="F10" i="7"/>
  <c r="E10" i="7"/>
  <c r="I5" i="7"/>
  <c r="F5" i="7"/>
  <c r="H5" i="7" s="1"/>
  <c r="E5" i="7"/>
  <c r="H120" i="7" l="1"/>
  <c r="H100" i="7"/>
  <c r="G52" i="7"/>
  <c r="E54" i="7"/>
  <c r="H51" i="7"/>
  <c r="E63" i="7"/>
  <c r="H63" i="7" s="1"/>
  <c r="G63" i="7"/>
  <c r="G110" i="7"/>
  <c r="H11" i="7"/>
  <c r="H90" i="7"/>
  <c r="H116" i="7"/>
  <c r="F27" i="7"/>
  <c r="H27" i="7" s="1"/>
  <c r="H69" i="7"/>
  <c r="F38" i="7"/>
  <c r="H38" i="7" s="1"/>
  <c r="F24" i="7"/>
  <c r="H24" i="7" s="1"/>
  <c r="E79" i="7"/>
  <c r="H79" i="7" s="1"/>
  <c r="E55" i="7"/>
  <c r="G71" i="7"/>
  <c r="G120" i="7"/>
  <c r="G79" i="7"/>
  <c r="V16" i="4" l="1"/>
  <c r="V21" i="4"/>
  <c r="AD57" i="1" l="1"/>
  <c r="AC57" i="1"/>
  <c r="AA57" i="1"/>
  <c r="Z57" i="1"/>
  <c r="X57" i="1"/>
  <c r="W57" i="1"/>
  <c r="V57" i="1"/>
  <c r="U57" i="1"/>
  <c r="T57" i="1"/>
  <c r="S57" i="1"/>
  <c r="R57" i="1"/>
  <c r="AE56" i="1"/>
  <c r="AB56" i="1"/>
  <c r="Y56" i="1"/>
  <c r="AE55" i="1"/>
  <c r="AB55" i="1"/>
  <c r="Y55" i="1"/>
  <c r="AE54" i="1"/>
  <c r="Y54" i="1"/>
  <c r="AE53" i="1"/>
  <c r="Y53" i="1"/>
  <c r="Y52" i="1"/>
  <c r="AD48" i="1"/>
  <c r="AC48" i="1"/>
  <c r="AA48" i="1"/>
  <c r="Z48" i="1"/>
  <c r="X48" i="1"/>
  <c r="W48" i="1"/>
  <c r="V48" i="1"/>
  <c r="U48" i="1"/>
  <c r="T48" i="1"/>
  <c r="S48" i="1"/>
  <c r="R48" i="1"/>
  <c r="AE47" i="1"/>
  <c r="AB47" i="1"/>
  <c r="Y47" i="1"/>
  <c r="AE46" i="1"/>
  <c r="AB46" i="1"/>
  <c r="Y46" i="1"/>
  <c r="AE45" i="1"/>
  <c r="Y45" i="1"/>
  <c r="AE44" i="1"/>
  <c r="Y44" i="1"/>
  <c r="Y43" i="1"/>
  <c r="B19" i="4"/>
  <c r="AB57" i="1" l="1"/>
  <c r="AE48" i="1"/>
  <c r="AE57" i="1"/>
  <c r="Y48" i="1"/>
  <c r="AB48" i="1"/>
  <c r="Y57" i="1"/>
  <c r="U21" i="4" l="1"/>
  <c r="S16" i="4"/>
  <c r="T16" i="4"/>
  <c r="U16" i="4"/>
  <c r="R16" i="4"/>
  <c r="R21" i="4"/>
  <c r="AD76" i="1" l="1"/>
  <c r="AC76" i="1"/>
  <c r="X76" i="1"/>
  <c r="W76" i="1"/>
  <c r="V76" i="1"/>
  <c r="U76" i="1"/>
  <c r="T76" i="1"/>
  <c r="S76" i="1"/>
  <c r="R76" i="1"/>
  <c r="AE75" i="1"/>
  <c r="Y75" i="1"/>
  <c r="AE74" i="1"/>
  <c r="Y74" i="1"/>
  <c r="AE73" i="1"/>
  <c r="Y73" i="1"/>
  <c r="AE72" i="1"/>
  <c r="Y72" i="1"/>
  <c r="Y71" i="1"/>
  <c r="AD67" i="1"/>
  <c r="AC67" i="1"/>
  <c r="AA67" i="1"/>
  <c r="Z67" i="1"/>
  <c r="X67" i="1"/>
  <c r="W67" i="1"/>
  <c r="V67" i="1"/>
  <c r="U67" i="1"/>
  <c r="T67" i="1"/>
  <c r="S67" i="1"/>
  <c r="R67" i="1"/>
  <c r="AE66" i="1"/>
  <c r="Y66" i="1"/>
  <c r="AE65" i="1"/>
  <c r="Y65" i="1"/>
  <c r="AE64" i="1"/>
  <c r="Y64" i="1"/>
  <c r="AE63" i="1"/>
  <c r="Y63" i="1"/>
  <c r="Y62" i="1"/>
  <c r="Y67" i="1" l="1"/>
  <c r="Y76" i="1"/>
  <c r="AE67" i="1"/>
  <c r="AE76" i="1"/>
  <c r="AD95" i="1"/>
  <c r="AC95" i="1"/>
  <c r="X95" i="1"/>
  <c r="W95" i="1"/>
  <c r="V95" i="1"/>
  <c r="U95" i="1"/>
  <c r="T95" i="1"/>
  <c r="S95" i="1"/>
  <c r="R95" i="1"/>
  <c r="AE94" i="1"/>
  <c r="Y94" i="1"/>
  <c r="AE93" i="1"/>
  <c r="Y93" i="1"/>
  <c r="AE92" i="1"/>
  <c r="Y92" i="1"/>
  <c r="AE91" i="1"/>
  <c r="Y91" i="1"/>
  <c r="Y90" i="1"/>
  <c r="AD86" i="1"/>
  <c r="AC86" i="1"/>
  <c r="X86" i="1"/>
  <c r="W86" i="1"/>
  <c r="Y86" i="1" s="1"/>
  <c r="V86" i="1"/>
  <c r="U86" i="1"/>
  <c r="T86" i="1"/>
  <c r="S86" i="1"/>
  <c r="R86" i="1"/>
  <c r="AE85" i="1"/>
  <c r="Y85" i="1"/>
  <c r="AE84" i="1"/>
  <c r="Y84" i="1"/>
  <c r="AE83" i="1"/>
  <c r="Y83" i="1"/>
  <c r="AE82" i="1"/>
  <c r="Y82" i="1"/>
  <c r="Y81" i="1"/>
  <c r="AE86" i="1" l="1"/>
  <c r="Y95" i="1"/>
  <c r="AE95" i="1"/>
  <c r="Q21" i="4"/>
  <c r="Q16" i="4"/>
  <c r="J38" i="7" l="1"/>
  <c r="J37" i="7"/>
  <c r="J36" i="7"/>
  <c r="J35" i="7"/>
  <c r="J22" i="7"/>
  <c r="J21" i="7"/>
  <c r="J20" i="7"/>
  <c r="J12" i="7"/>
  <c r="J11" i="7"/>
  <c r="J13" i="7"/>
  <c r="J5" i="7"/>
  <c r="J10" i="7" l="1"/>
  <c r="J33" i="7"/>
  <c r="J34" i="7"/>
  <c r="J23" i="7"/>
  <c r="J19" i="7"/>
  <c r="J24" i="7"/>
  <c r="AD114" i="1" l="1"/>
  <c r="AC114" i="1"/>
  <c r="X114" i="1"/>
  <c r="W114" i="1"/>
  <c r="V114" i="1"/>
  <c r="T114" i="1"/>
  <c r="S114" i="1"/>
  <c r="R114" i="1"/>
  <c r="AE113" i="1"/>
  <c r="Y113" i="1"/>
  <c r="AE112" i="1"/>
  <c r="Y112" i="1"/>
  <c r="AE111" i="1"/>
  <c r="Y111" i="1"/>
  <c r="AE110" i="1"/>
  <c r="Y110" i="1"/>
  <c r="AD105" i="1"/>
  <c r="AC105" i="1"/>
  <c r="X105" i="1"/>
  <c r="W105" i="1"/>
  <c r="V105" i="1"/>
  <c r="T105" i="1"/>
  <c r="S105" i="1"/>
  <c r="R105" i="1"/>
  <c r="AE104" i="1"/>
  <c r="Y104" i="1"/>
  <c r="AE103" i="1"/>
  <c r="Y103" i="1"/>
  <c r="AE102" i="1"/>
  <c r="Y102" i="1"/>
  <c r="AE101" i="1"/>
  <c r="Y101" i="1"/>
  <c r="K21" i="4"/>
  <c r="L21" i="4"/>
  <c r="M21" i="4"/>
  <c r="N21" i="4"/>
  <c r="O21" i="4"/>
  <c r="P21" i="4"/>
  <c r="K16" i="4"/>
  <c r="L16" i="4"/>
  <c r="M16" i="4"/>
  <c r="N16" i="4"/>
  <c r="O16" i="4"/>
  <c r="P16" i="4"/>
  <c r="AD133" i="1"/>
  <c r="AC133" i="1"/>
  <c r="X133" i="1"/>
  <c r="W133" i="1"/>
  <c r="V133" i="1"/>
  <c r="T133" i="1"/>
  <c r="S133" i="1"/>
  <c r="R133" i="1"/>
  <c r="AE132" i="1"/>
  <c r="Y132" i="1"/>
  <c r="AE131" i="1"/>
  <c r="Y131" i="1"/>
  <c r="AE130" i="1"/>
  <c r="Y130" i="1"/>
  <c r="AE129" i="1"/>
  <c r="Y129" i="1"/>
  <c r="AD124" i="1"/>
  <c r="AC124" i="1"/>
  <c r="X124" i="1"/>
  <c r="W124" i="1"/>
  <c r="V124" i="1"/>
  <c r="T124" i="1"/>
  <c r="S124" i="1"/>
  <c r="R124" i="1"/>
  <c r="AE123" i="1"/>
  <c r="Y123" i="1"/>
  <c r="AE122" i="1"/>
  <c r="Y122" i="1"/>
  <c r="AE121" i="1"/>
  <c r="Y121" i="1"/>
  <c r="AE120" i="1"/>
  <c r="Y120" i="1"/>
  <c r="AE105" i="1" l="1"/>
  <c r="Y114" i="1"/>
  <c r="Y105" i="1"/>
  <c r="AE114" i="1"/>
  <c r="AE124" i="1"/>
  <c r="Y124" i="1"/>
  <c r="Y133" i="1"/>
  <c r="AE133" i="1"/>
  <c r="AD152" i="1" l="1"/>
  <c r="AC152" i="1"/>
  <c r="AA152" i="1"/>
  <c r="Z152" i="1"/>
  <c r="X152" i="1"/>
  <c r="W152" i="1"/>
  <c r="V152" i="1"/>
  <c r="T152" i="1"/>
  <c r="S152" i="1"/>
  <c r="R152" i="1"/>
  <c r="AE151" i="1"/>
  <c r="AB151" i="1"/>
  <c r="Y151" i="1"/>
  <c r="AE150" i="1"/>
  <c r="AB150" i="1"/>
  <c r="Y150" i="1"/>
  <c r="AE149" i="1"/>
  <c r="AB149" i="1"/>
  <c r="Y149" i="1"/>
  <c r="AE148" i="1"/>
  <c r="AB148" i="1"/>
  <c r="Y148" i="1"/>
  <c r="AB147" i="1"/>
  <c r="Y147" i="1"/>
  <c r="AD143" i="1"/>
  <c r="AC143" i="1"/>
  <c r="AA143" i="1"/>
  <c r="Z143" i="1"/>
  <c r="X143" i="1"/>
  <c r="W143" i="1"/>
  <c r="V143" i="1"/>
  <c r="T143" i="1"/>
  <c r="S143" i="1"/>
  <c r="R143" i="1"/>
  <c r="AE142" i="1"/>
  <c r="AB142" i="1"/>
  <c r="Y142" i="1"/>
  <c r="AE141" i="1"/>
  <c r="AB141" i="1"/>
  <c r="Y141" i="1"/>
  <c r="AE140" i="1"/>
  <c r="AB140" i="1"/>
  <c r="Y140" i="1"/>
  <c r="AE139" i="1"/>
  <c r="AB139" i="1"/>
  <c r="Y139" i="1"/>
  <c r="AB138" i="1"/>
  <c r="Y138" i="1"/>
  <c r="AD171" i="1"/>
  <c r="AC171" i="1"/>
  <c r="X171" i="1"/>
  <c r="W171" i="1"/>
  <c r="V171" i="1"/>
  <c r="T171" i="1"/>
  <c r="S171" i="1"/>
  <c r="R171" i="1"/>
  <c r="AE170" i="1"/>
  <c r="Y170" i="1"/>
  <c r="AE169" i="1"/>
  <c r="Y169" i="1"/>
  <c r="AE168" i="1"/>
  <c r="Y168" i="1"/>
  <c r="AE167" i="1"/>
  <c r="Y167" i="1"/>
  <c r="Y166" i="1"/>
  <c r="AD162" i="1"/>
  <c r="AC162" i="1"/>
  <c r="X162" i="1"/>
  <c r="W162" i="1"/>
  <c r="V162" i="1"/>
  <c r="T162" i="1"/>
  <c r="S162" i="1"/>
  <c r="R162" i="1"/>
  <c r="AE161" i="1"/>
  <c r="Y161" i="1"/>
  <c r="AE160" i="1"/>
  <c r="Y160" i="1"/>
  <c r="AE159" i="1"/>
  <c r="Y159" i="1"/>
  <c r="AE158" i="1"/>
  <c r="Y158" i="1"/>
  <c r="Y157" i="1"/>
  <c r="AE152" i="1" l="1"/>
  <c r="Y152" i="1"/>
  <c r="Y143" i="1"/>
  <c r="AE143" i="1"/>
  <c r="AB152" i="1"/>
  <c r="AB143" i="1"/>
  <c r="Y171" i="1"/>
  <c r="AE171" i="1"/>
  <c r="Y162" i="1"/>
  <c r="AE162" i="1"/>
  <c r="AD190" i="1"/>
  <c r="AC190" i="1"/>
  <c r="AA190" i="1"/>
  <c r="Z190" i="1"/>
  <c r="X190" i="1"/>
  <c r="W190" i="1"/>
  <c r="V190" i="1"/>
  <c r="U190" i="1"/>
  <c r="T190" i="1"/>
  <c r="S190" i="1"/>
  <c r="R190" i="1"/>
  <c r="AE189" i="1"/>
  <c r="AB189" i="1"/>
  <c r="Y189" i="1"/>
  <c r="AE188" i="1"/>
  <c r="AB188" i="1"/>
  <c r="Y188" i="1"/>
  <c r="AE187" i="1"/>
  <c r="Y187" i="1"/>
  <c r="AE186" i="1"/>
  <c r="Y186" i="1"/>
  <c r="Y185" i="1"/>
  <c r="AD181" i="1"/>
  <c r="AC181" i="1"/>
  <c r="AA181" i="1"/>
  <c r="Z181" i="1"/>
  <c r="X181" i="1"/>
  <c r="W181" i="1"/>
  <c r="V181" i="1"/>
  <c r="U181" i="1"/>
  <c r="T181" i="1"/>
  <c r="S181" i="1"/>
  <c r="R181" i="1"/>
  <c r="AE180" i="1"/>
  <c r="AB180" i="1"/>
  <c r="Y180" i="1"/>
  <c r="AE179" i="1"/>
  <c r="AB179" i="1"/>
  <c r="Y179" i="1"/>
  <c r="AE178" i="1"/>
  <c r="Y178" i="1"/>
  <c r="AE177" i="1"/>
  <c r="Y177" i="1"/>
  <c r="Y176" i="1"/>
  <c r="AB190" i="1" l="1"/>
  <c r="AE181" i="1"/>
  <c r="Y181" i="1"/>
  <c r="AE190" i="1"/>
  <c r="Y190" i="1"/>
  <c r="AB181" i="1"/>
  <c r="B26" i="4" l="1"/>
  <c r="J21" i="4"/>
  <c r="I21" i="4"/>
  <c r="H21" i="4"/>
  <c r="G21" i="4"/>
  <c r="F21" i="4"/>
  <c r="E21" i="4"/>
  <c r="D21" i="4"/>
  <c r="C21" i="4"/>
  <c r="B20" i="4"/>
  <c r="J16" i="4"/>
  <c r="I16" i="4"/>
  <c r="H16" i="4"/>
  <c r="G16" i="4"/>
  <c r="F16" i="4"/>
  <c r="E16" i="4"/>
  <c r="D16" i="4"/>
  <c r="C16" i="4"/>
  <c r="B15" i="4"/>
  <c r="B14" i="4"/>
  <c r="F11" i="4"/>
  <c r="E11" i="4"/>
  <c r="D11" i="4"/>
  <c r="C11" i="4"/>
  <c r="B11" i="4"/>
  <c r="AD285" i="1"/>
  <c r="AC285" i="1"/>
  <c r="AA285" i="1"/>
  <c r="Z285" i="1"/>
  <c r="X285" i="1"/>
  <c r="W285" i="1"/>
  <c r="V285" i="1"/>
  <c r="U285" i="1"/>
  <c r="T285" i="1"/>
  <c r="S285" i="1"/>
  <c r="R285" i="1"/>
  <c r="AE284" i="1"/>
  <c r="Y284" i="1"/>
  <c r="AE283" i="1"/>
  <c r="Y283" i="1"/>
  <c r="AE282" i="1"/>
  <c r="Y282" i="1"/>
  <c r="AE281" i="1"/>
  <c r="Y281" i="1"/>
  <c r="Y280" i="1"/>
  <c r="AD276" i="1"/>
  <c r="AC276" i="1"/>
  <c r="AA276" i="1"/>
  <c r="Z276" i="1"/>
  <c r="X276" i="1"/>
  <c r="W276" i="1"/>
  <c r="V276" i="1"/>
  <c r="U276" i="1"/>
  <c r="T276" i="1"/>
  <c r="S276" i="1"/>
  <c r="R276" i="1"/>
  <c r="AE275" i="1"/>
  <c r="Y275" i="1"/>
  <c r="AE274" i="1"/>
  <c r="Y274" i="1"/>
  <c r="AE273" i="1"/>
  <c r="Y273" i="1"/>
  <c r="AE272" i="1"/>
  <c r="Y272" i="1"/>
  <c r="Y271" i="1"/>
  <c r="AD266" i="1"/>
  <c r="AC266" i="1"/>
  <c r="AA266" i="1"/>
  <c r="Z266" i="1"/>
  <c r="X266" i="1"/>
  <c r="W266" i="1"/>
  <c r="V266" i="1"/>
  <c r="U266" i="1"/>
  <c r="T266" i="1"/>
  <c r="S266" i="1"/>
  <c r="R266" i="1"/>
  <c r="AE265" i="1"/>
  <c r="AB265" i="1"/>
  <c r="Y265" i="1"/>
  <c r="AE264" i="1"/>
  <c r="AB264" i="1"/>
  <c r="Y264" i="1"/>
  <c r="AE263" i="1"/>
  <c r="AB263" i="1"/>
  <c r="Y263" i="1"/>
  <c r="AE262" i="1"/>
  <c r="AB262" i="1"/>
  <c r="Y262" i="1"/>
  <c r="AB261" i="1"/>
  <c r="Y261" i="1"/>
  <c r="AD257" i="1"/>
  <c r="AC257" i="1"/>
  <c r="AA257" i="1"/>
  <c r="Z257" i="1"/>
  <c r="X257" i="1"/>
  <c r="W257" i="1"/>
  <c r="V257" i="1"/>
  <c r="U257" i="1"/>
  <c r="T257" i="1"/>
  <c r="S257" i="1"/>
  <c r="R257" i="1"/>
  <c r="AE256" i="1"/>
  <c r="AB256" i="1"/>
  <c r="Y256" i="1"/>
  <c r="AE255" i="1"/>
  <c r="AB255" i="1"/>
  <c r="Y255" i="1"/>
  <c r="AE254" i="1"/>
  <c r="AB254" i="1"/>
  <c r="Y254" i="1"/>
  <c r="AE253" i="1"/>
  <c r="AB253" i="1"/>
  <c r="Y253" i="1"/>
  <c r="AB252" i="1"/>
  <c r="Y252" i="1"/>
  <c r="AD247" i="1"/>
  <c r="AC247" i="1"/>
  <c r="AA247" i="1"/>
  <c r="Z247" i="1"/>
  <c r="X247" i="1"/>
  <c r="W247" i="1"/>
  <c r="V247" i="1"/>
  <c r="U247" i="1"/>
  <c r="T247" i="1"/>
  <c r="S247" i="1"/>
  <c r="R247" i="1"/>
  <c r="AE246" i="1"/>
  <c r="Y246" i="1"/>
  <c r="AE245" i="1"/>
  <c r="Y245" i="1"/>
  <c r="AE244" i="1"/>
  <c r="Y244" i="1"/>
  <c r="AE243" i="1"/>
  <c r="AD238" i="1"/>
  <c r="AC238" i="1"/>
  <c r="AA238" i="1"/>
  <c r="Z238" i="1"/>
  <c r="X238" i="1"/>
  <c r="W238" i="1"/>
  <c r="V238" i="1"/>
  <c r="U238" i="1"/>
  <c r="T238" i="1"/>
  <c r="S238" i="1"/>
  <c r="R238" i="1"/>
  <c r="AE237" i="1"/>
  <c r="Y237" i="1"/>
  <c r="AE236" i="1"/>
  <c r="Y236" i="1"/>
  <c r="AE235" i="1"/>
  <c r="Y235" i="1"/>
  <c r="AE234" i="1"/>
  <c r="AD228" i="1"/>
  <c r="AC228" i="1"/>
  <c r="AA228" i="1"/>
  <c r="Z228" i="1"/>
  <c r="X228" i="1"/>
  <c r="W228" i="1"/>
  <c r="V228" i="1"/>
  <c r="U228" i="1"/>
  <c r="T228" i="1"/>
  <c r="S228" i="1"/>
  <c r="R228" i="1"/>
  <c r="AE227" i="1"/>
  <c r="AE226" i="1"/>
  <c r="AE225" i="1"/>
  <c r="Y225" i="1"/>
  <c r="AE224" i="1"/>
  <c r="Y224" i="1"/>
  <c r="Y223" i="1"/>
  <c r="AD219" i="1"/>
  <c r="AC219" i="1"/>
  <c r="AA219" i="1"/>
  <c r="Z219" i="1"/>
  <c r="X219" i="1"/>
  <c r="W219" i="1"/>
  <c r="V219" i="1"/>
  <c r="U219" i="1"/>
  <c r="T219" i="1"/>
  <c r="S219" i="1"/>
  <c r="R219" i="1"/>
  <c r="AE218" i="1"/>
  <c r="AE217" i="1"/>
  <c r="AE216" i="1"/>
  <c r="Y216" i="1"/>
  <c r="AE215" i="1"/>
  <c r="Y215" i="1"/>
  <c r="Y214" i="1"/>
  <c r="AD209" i="1"/>
  <c r="AC209" i="1"/>
  <c r="AA209" i="1"/>
  <c r="Z209" i="1"/>
  <c r="X209" i="1"/>
  <c r="W209" i="1"/>
  <c r="V209" i="1"/>
  <c r="U209" i="1"/>
  <c r="T209" i="1"/>
  <c r="S209" i="1"/>
  <c r="R209" i="1"/>
  <c r="AE208" i="1"/>
  <c r="Y208" i="1"/>
  <c r="AE207" i="1"/>
  <c r="Y207" i="1"/>
  <c r="AE206" i="1"/>
  <c r="Y206" i="1"/>
  <c r="AE205" i="1"/>
  <c r="Y205" i="1"/>
  <c r="Y204" i="1"/>
  <c r="AD200" i="1"/>
  <c r="AC200" i="1"/>
  <c r="AA200" i="1"/>
  <c r="Z200" i="1"/>
  <c r="X200" i="1"/>
  <c r="W200" i="1"/>
  <c r="V200" i="1"/>
  <c r="U200" i="1"/>
  <c r="T200" i="1"/>
  <c r="S200" i="1"/>
  <c r="R200" i="1"/>
  <c r="AE199" i="1"/>
  <c r="Y199" i="1"/>
  <c r="AE198" i="1"/>
  <c r="Y198" i="1"/>
  <c r="AE197" i="1"/>
  <c r="Y197" i="1"/>
  <c r="AE196" i="1"/>
  <c r="Y196" i="1"/>
  <c r="Y195" i="1"/>
  <c r="B21" i="4" l="1"/>
  <c r="B16" i="4"/>
  <c r="Y228" i="1"/>
  <c r="Y247" i="1"/>
  <c r="AB266" i="1"/>
  <c r="AB257" i="1"/>
  <c r="AE276" i="1"/>
  <c r="AE228" i="1"/>
  <c r="Y219" i="1"/>
  <c r="Y200" i="1"/>
  <c r="AE200" i="1"/>
  <c r="Y209" i="1"/>
  <c r="AE209" i="1"/>
  <c r="AE219" i="1"/>
  <c r="Y257" i="1"/>
  <c r="AE247" i="1"/>
  <c r="AE238" i="1"/>
  <c r="AE257" i="1"/>
  <c r="AE285" i="1"/>
  <c r="Y266" i="1"/>
  <c r="Y238" i="1"/>
  <c r="Y285" i="1"/>
  <c r="Y276" i="1"/>
  <c r="AE266" i="1"/>
</calcChain>
</file>

<file path=xl/sharedStrings.xml><?xml version="1.0" encoding="utf-8"?>
<sst xmlns="http://schemas.openxmlformats.org/spreadsheetml/2006/main" count="1057" uniqueCount="134">
  <si>
    <t>Write off</t>
  </si>
  <si>
    <t>SMS</t>
  </si>
  <si>
    <t>Robot Calling</t>
  </si>
  <si>
    <t xml:space="preserve">NABA </t>
  </si>
  <si>
    <t>Agent Calling</t>
  </si>
  <si>
    <t>opening</t>
  </si>
  <si>
    <t xml:space="preserve">Current count </t>
  </si>
  <si>
    <t>Attempt</t>
  </si>
  <si>
    <t>Success</t>
  </si>
  <si>
    <t>Success %</t>
  </si>
  <si>
    <t>1-30 DPD</t>
  </si>
  <si>
    <t>31-60 DPD</t>
  </si>
  <si>
    <t>61-90 DPD</t>
  </si>
  <si>
    <t>&gt;91 DPD</t>
  </si>
  <si>
    <t>Salary pull out by najez Portal -( Retail )</t>
  </si>
  <si>
    <t>Amount</t>
  </si>
  <si>
    <t>Total</t>
  </si>
  <si>
    <t>Agent Name</t>
  </si>
  <si>
    <t>Legal / Salary pullout / Writeoff Recovery</t>
  </si>
  <si>
    <t>Sarah Abdulaziz Aljurayyad</t>
  </si>
  <si>
    <t>Fahad Abdulsalam Alnzhah</t>
  </si>
  <si>
    <t>Ibrahim Abyan</t>
  </si>
  <si>
    <t>Suleiman Alhodhaif</t>
  </si>
  <si>
    <t>Waleed Alhumod</t>
  </si>
  <si>
    <t>MTD</t>
  </si>
  <si>
    <t>Previous Day</t>
  </si>
  <si>
    <t>Retail Legal filed By QF</t>
  </si>
  <si>
    <t>Retail Legal filed By Najiz</t>
  </si>
  <si>
    <t xml:space="preserve">Count </t>
  </si>
  <si>
    <t>Fahad Abdulaziz Alateeq</t>
  </si>
  <si>
    <t>Abdulrahman Al Otaibi</t>
  </si>
  <si>
    <t>Supervisor</t>
  </si>
  <si>
    <t>Retail Write off recovery with discount</t>
  </si>
  <si>
    <t>Achievement</t>
  </si>
  <si>
    <t>TOTAL_PRIN_REM_AMT</t>
  </si>
  <si>
    <t>Target Amount</t>
  </si>
  <si>
    <t>Stable</t>
  </si>
  <si>
    <t xml:space="preserve">Rollforward </t>
  </si>
  <si>
    <t>Rollforward %</t>
  </si>
  <si>
    <t xml:space="preserve">Amal hamoud Alotaibi </t>
  </si>
  <si>
    <t>Ahmed Alshammari</t>
  </si>
  <si>
    <t>IVR - PKT3</t>
  </si>
  <si>
    <t>Target</t>
  </si>
  <si>
    <t xml:space="preserve"> Roll back  </t>
  </si>
  <si>
    <t xml:space="preserve"> Roll back  %</t>
  </si>
  <si>
    <t xml:space="preserve">IVR - NPA 91-180 </t>
  </si>
  <si>
    <t>Overdue Amount</t>
  </si>
  <si>
    <t>Collected Amount from overdue</t>
  </si>
  <si>
    <t>IVR - 181-360 DPD</t>
  </si>
  <si>
    <t>Anisha</t>
  </si>
  <si>
    <t>Grand Total</t>
  </si>
  <si>
    <t>Collected Amount</t>
  </si>
  <si>
    <t>Anisha - NS</t>
  </si>
  <si>
    <t xml:space="preserve">Write off  - Target 300,000 % Recovery  </t>
  </si>
  <si>
    <t>OUSTSTANING_AMT</t>
  </si>
  <si>
    <t xml:space="preserve">Achievement amount With discount amount </t>
  </si>
  <si>
    <t>Achievement %</t>
  </si>
  <si>
    <t>IVR - Write off</t>
  </si>
  <si>
    <t>Manal Salem Madi</t>
  </si>
  <si>
    <t>Urdu Write Off + 360 - Target 3 % Recovery</t>
  </si>
  <si>
    <t>O/S</t>
  </si>
  <si>
    <t>Anisha - Write off - Non Saudi</t>
  </si>
  <si>
    <t>IVR -Write off -  Non Starter</t>
  </si>
  <si>
    <t>Aljawhara alqarni</t>
  </si>
  <si>
    <t>IVR - Non Starter</t>
  </si>
  <si>
    <t>Mani - Non Starter</t>
  </si>
  <si>
    <t>Unreachable</t>
  </si>
  <si>
    <t xml:space="preserve">push notifications </t>
  </si>
  <si>
    <t>SME Write off recovery with discount</t>
  </si>
  <si>
    <t xml:space="preserve">PKT-1 (1 - 30 DPD) Rollforward 10% </t>
  </si>
  <si>
    <t>Noura Al Subaie</t>
  </si>
  <si>
    <t>Renad Al Qarni</t>
  </si>
  <si>
    <t>A- 1-30</t>
  </si>
  <si>
    <t>PKT-2 (31 - 60 DPD)  Rollforward 25 %</t>
  </si>
  <si>
    <t>PKT-3 (61 - 90 DPD) Rollforward 35%</t>
  </si>
  <si>
    <t>Alanoud Alotaibi</t>
  </si>
  <si>
    <t>NPA 361 - 450 DPD - Collected Amount - 2.5%</t>
  </si>
  <si>
    <t>IVR - 361-450 DPD</t>
  </si>
  <si>
    <t>URDU 31-450- Collected Amount 12%</t>
  </si>
  <si>
    <t>Sheetal</t>
  </si>
  <si>
    <t xml:space="preserve">URDU 31-450 - Non Starter Collected Amount 3%- </t>
  </si>
  <si>
    <t>Sheetal - NS</t>
  </si>
  <si>
    <t>Sheetal - Write off - Non Saudi</t>
  </si>
  <si>
    <t xml:space="preserve">Write off Non Starter Target 2  % Recovery  </t>
  </si>
  <si>
    <t xml:space="preserve">91-450 - Non Starter Collected Amount 3.5%- </t>
  </si>
  <si>
    <t>Amjd Ibrahim Al-Hazmi</t>
  </si>
  <si>
    <t>Sarah Abdullah Alhawban</t>
  </si>
  <si>
    <t xml:space="preserve"> NPA  91- 180 DPD  Roll back 35 %</t>
  </si>
  <si>
    <t>Alanoud Ibrahim Almaslmani </t>
  </si>
  <si>
    <t>NPA 181 - 360 DPD - Collected Amount - 7%</t>
  </si>
  <si>
    <t>Mani - Write off - Non Starter</t>
  </si>
  <si>
    <t>Qemma -Write off -  Non Starter</t>
  </si>
  <si>
    <t>Qema - Non Starter</t>
  </si>
  <si>
    <t>02-&amp;4-10-2025</t>
  </si>
  <si>
    <t>Retail Target Oct - 2025</t>
  </si>
  <si>
    <t> Samar Fahad Alharbi</t>
  </si>
  <si>
    <t>Hala Salem Alqahtani</t>
  </si>
  <si>
    <t>IVR PKT2</t>
  </si>
  <si>
    <t xml:space="preserve">Hajir Obaid Al-Otaibi </t>
  </si>
  <si>
    <t> Abdullah Al-Mutairi</t>
  </si>
  <si>
    <t> Khalid Aytim Alanazi</t>
  </si>
  <si>
    <t> Nawaf Suliman Aldayel</t>
  </si>
  <si>
    <t> Trad Khaled Alharbi</t>
  </si>
  <si>
    <t>Completed</t>
  </si>
  <si>
    <t xml:space="preserve">Not connected </t>
  </si>
  <si>
    <t>#</t>
  </si>
  <si>
    <t>PKT</t>
  </si>
  <si>
    <t xml:space="preserve">Target completed calls per day </t>
  </si>
  <si>
    <t>%</t>
  </si>
  <si>
    <t xml:space="preserve">Count of calls </t>
  </si>
  <si>
    <t>count of customers</t>
  </si>
  <si>
    <t>Sum of minute</t>
  </si>
  <si>
    <t>count</t>
  </si>
  <si>
    <t>Total Calls</t>
  </si>
  <si>
    <t>Total  minutes</t>
  </si>
  <si>
    <t xml:space="preserve">Actuly Hours
 Working Per Day( Completed calls + Not Connected ) </t>
  </si>
  <si>
    <t>B -31-60</t>
  </si>
  <si>
    <t>C - 61-90</t>
  </si>
  <si>
    <t xml:space="preserve">D - NPA  91- 180 </t>
  </si>
  <si>
    <t>Alanoud Saud Alotaibi</t>
  </si>
  <si>
    <t>Manal Saleem Almadi</t>
  </si>
  <si>
    <t>Alanoud Almaslmani</t>
  </si>
  <si>
    <t>E - NPA  - 181 - 360</t>
  </si>
  <si>
    <t>F - NPA  - 361 - 450</t>
  </si>
  <si>
    <t xml:space="preserve">Write Off </t>
  </si>
  <si>
    <t>Abdullah Eid Almutairi</t>
  </si>
  <si>
    <t>khalid Aytim Alanazi</t>
  </si>
  <si>
    <t>09&amp;11- 10-202</t>
  </si>
  <si>
    <t>Ruba Marzouq Alkhaldi</t>
  </si>
  <si>
    <t>16&amp;18-10-2025</t>
  </si>
  <si>
    <t>NPA Non Starter - 91-450</t>
  </si>
  <si>
    <t>A - First installment</t>
  </si>
  <si>
    <t>Manal Sami Almusaad</t>
  </si>
  <si>
    <t>Trad Khaled Alharbi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</si>
</sst>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8" tint="-0.499984740745262"/>
      <name val="Calibri"/>
      <family val="2"/>
      <scheme val="minor"/>
    </font>
    <font>
      <sz val="8"/>
      <color theme="8" tint="-0.499984740745262"/>
      <name val="Calibri"/>
      <family val="2"/>
      <scheme val="minor"/>
    </font>
    <font>
      <sz val="8"/>
      <color theme="8" tint="-0.499984740745262"/>
      <name val="Calibri"/>
      <family val="2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25" applyNumberFormat="0" applyFill="0" applyAlignment="0" applyProtection="0"/>
    <xf numFmtId="0" fontId="7" fillId="0" borderId="26" applyNumberFormat="0" applyFill="0" applyAlignment="0" applyProtection="0"/>
    <xf numFmtId="0" fontId="8" fillId="0" borderId="27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28" applyNumberFormat="0" applyAlignment="0" applyProtection="0"/>
    <xf numFmtId="0" fontId="13" fillId="8" borderId="29" applyNumberFormat="0" applyAlignment="0" applyProtection="0"/>
    <xf numFmtId="0" fontId="14" fillId="8" borderId="28" applyNumberFormat="0" applyAlignment="0" applyProtection="0"/>
    <xf numFmtId="0" fontId="15" fillId="0" borderId="30" applyNumberFormat="0" applyFill="0" applyAlignment="0" applyProtection="0"/>
    <xf numFmtId="0" fontId="16" fillId="9" borderId="31" applyNumberFormat="0" applyAlignment="0" applyProtection="0"/>
    <xf numFmtId="0" fontId="17" fillId="0" borderId="0" applyNumberFormat="0" applyFill="0" applyBorder="0" applyAlignment="0" applyProtection="0"/>
    <xf numFmtId="0" fontId="1" fillId="10" borderId="32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33" applyNumberFormat="0" applyFill="0" applyAlignment="0" applyProtection="0"/>
    <xf numFmtId="0" fontId="1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257">
    <xf numFmtId="0" fontId="0" fillId="0" borderId="0" xfId="0"/>
    <xf numFmtId="164" fontId="20" fillId="0" borderId="11" xfId="1" applyNumberFormat="1" applyFont="1" applyFill="1" applyBorder="1" applyAlignment="1">
      <alignment horizontal="center" vertical="center"/>
    </xf>
    <xf numFmtId="164" fontId="20" fillId="2" borderId="11" xfId="1" applyNumberFormat="1" applyFont="1" applyFill="1" applyBorder="1" applyAlignment="1">
      <alignment horizontal="left" vertical="center"/>
    </xf>
    <xf numFmtId="164" fontId="20" fillId="2" borderId="11" xfId="1" applyNumberFormat="1" applyFont="1" applyFill="1" applyBorder="1" applyAlignment="1">
      <alignment horizontal="center" vertical="center"/>
    </xf>
    <xf numFmtId="164" fontId="20" fillId="2" borderId="11" xfId="1" applyNumberFormat="1" applyFont="1" applyFill="1" applyBorder="1" applyAlignment="1">
      <alignment horizontal="center" vertical="center" wrapText="1"/>
    </xf>
    <xf numFmtId="164" fontId="20" fillId="0" borderId="11" xfId="1" applyNumberFormat="1" applyFont="1" applyFill="1" applyBorder="1" applyAlignment="1">
      <alignment horizontal="left" vertical="center"/>
    </xf>
    <xf numFmtId="164" fontId="20" fillId="0" borderId="11" xfId="1" applyNumberFormat="1" applyFont="1" applyFill="1" applyBorder="1" applyAlignment="1">
      <alignment horizontal="center" vertical="center" wrapText="1"/>
    </xf>
    <xf numFmtId="164" fontId="20" fillId="0" borderId="0" xfId="1" applyNumberFormat="1" applyFont="1" applyFill="1" applyBorder="1" applyAlignment="1">
      <alignment horizontal="left" vertical="center"/>
    </xf>
    <xf numFmtId="164" fontId="20" fillId="0" borderId="0" xfId="1" applyNumberFormat="1" applyFont="1" applyFill="1" applyBorder="1" applyAlignment="1">
      <alignment horizontal="center" vertical="center"/>
    </xf>
    <xf numFmtId="164" fontId="20" fillId="0" borderId="0" xfId="1" applyNumberFormat="1" applyFont="1" applyFill="1" applyBorder="1" applyAlignment="1">
      <alignment horizontal="center" vertical="center" wrapText="1"/>
    </xf>
    <xf numFmtId="164" fontId="20" fillId="0" borderId="11" xfId="1" applyNumberFormat="1" applyFont="1" applyFill="1" applyBorder="1"/>
    <xf numFmtId="165" fontId="21" fillId="0" borderId="11" xfId="2" applyNumberFormat="1" applyFont="1" applyFill="1" applyBorder="1" applyAlignment="1">
      <alignment horizontal="center" vertical="center" wrapText="1"/>
    </xf>
    <xf numFmtId="164" fontId="20" fillId="0" borderId="8" xfId="1" applyNumberFormat="1" applyFont="1" applyFill="1" applyBorder="1" applyAlignment="1">
      <alignment horizontal="center" vertical="center"/>
    </xf>
    <xf numFmtId="165" fontId="20" fillId="0" borderId="0" xfId="2" applyNumberFormat="1" applyFont="1" applyFill="1" applyBorder="1" applyAlignment="1">
      <alignment horizontal="center" vertical="center"/>
    </xf>
    <xf numFmtId="164" fontId="20" fillId="2" borderId="9" xfId="1" applyNumberFormat="1" applyFont="1" applyFill="1" applyBorder="1" applyAlignment="1">
      <alignment horizontal="left" vertical="center"/>
    </xf>
    <xf numFmtId="164" fontId="20" fillId="2" borderId="34" xfId="1" applyNumberFormat="1" applyFont="1" applyFill="1" applyBorder="1" applyAlignment="1">
      <alignment horizontal="left" vertical="center"/>
    </xf>
    <xf numFmtId="164" fontId="20" fillId="2" borderId="35" xfId="1" applyNumberFormat="1" applyFont="1" applyFill="1" applyBorder="1" applyAlignment="1">
      <alignment horizontal="center" vertical="center"/>
    </xf>
    <xf numFmtId="164" fontId="20" fillId="2" borderId="35" xfId="1" applyNumberFormat="1" applyFont="1" applyFill="1" applyBorder="1" applyAlignment="1">
      <alignment horizontal="center" vertical="center" wrapText="1"/>
    </xf>
    <xf numFmtId="164" fontId="20" fillId="36" borderId="35" xfId="1" applyNumberFormat="1" applyFont="1" applyFill="1" applyBorder="1" applyAlignment="1">
      <alignment horizontal="center" vertical="center" wrapText="1"/>
    </xf>
    <xf numFmtId="164" fontId="20" fillId="0" borderId="9" xfId="1" applyNumberFormat="1" applyFont="1" applyFill="1" applyBorder="1" applyAlignment="1">
      <alignment horizontal="left" vertical="center"/>
    </xf>
    <xf numFmtId="165" fontId="21" fillId="0" borderId="10" xfId="2" applyNumberFormat="1" applyFont="1" applyFill="1" applyBorder="1" applyAlignment="1">
      <alignment horizontal="center" vertical="center" wrapText="1"/>
    </xf>
    <xf numFmtId="164" fontId="20" fillId="2" borderId="14" xfId="1" applyNumberFormat="1" applyFont="1" applyFill="1" applyBorder="1" applyAlignment="1">
      <alignment horizontal="left" vertical="center"/>
    </xf>
    <xf numFmtId="164" fontId="20" fillId="36" borderId="16" xfId="1" applyNumberFormat="1" applyFont="1" applyFill="1" applyBorder="1" applyAlignment="1">
      <alignment horizontal="center" vertical="center" wrapText="1"/>
    </xf>
    <xf numFmtId="165" fontId="21" fillId="36" borderId="15" xfId="2" applyNumberFormat="1" applyFont="1" applyFill="1" applyBorder="1" applyAlignment="1">
      <alignment horizontal="center" vertical="center" wrapText="1"/>
    </xf>
    <xf numFmtId="164" fontId="20" fillId="0" borderId="0" xfId="1" applyNumberFormat="1" applyFont="1" applyFill="1" applyBorder="1"/>
    <xf numFmtId="164" fontId="20" fillId="35" borderId="8" xfId="1" applyNumberFormat="1" applyFont="1" applyFill="1" applyBorder="1" applyAlignment="1">
      <alignment horizontal="center" vertical="center"/>
    </xf>
    <xf numFmtId="0" fontId="20" fillId="35" borderId="6" xfId="0" applyFont="1" applyFill="1" applyBorder="1" applyAlignment="1">
      <alignment horizontal="center" vertical="center"/>
    </xf>
    <xf numFmtId="164" fontId="20" fillId="36" borderId="11" xfId="1" applyNumberFormat="1" applyFont="1" applyFill="1" applyBorder="1" applyAlignment="1">
      <alignment horizontal="center" vertical="center" wrapText="1"/>
    </xf>
    <xf numFmtId="165" fontId="20" fillId="36" borderId="10" xfId="2" applyNumberFormat="1" applyFont="1" applyFill="1" applyBorder="1" applyAlignment="1">
      <alignment horizontal="center" vertical="center" wrapText="1"/>
    </xf>
    <xf numFmtId="164" fontId="20" fillId="2" borderId="16" xfId="1" applyNumberFormat="1" applyFont="1" applyFill="1" applyBorder="1" applyAlignment="1">
      <alignment horizontal="center" vertical="center" wrapText="1"/>
    </xf>
    <xf numFmtId="10" fontId="21" fillId="36" borderId="15" xfId="2" applyNumberFormat="1" applyFont="1" applyFill="1" applyBorder="1" applyAlignment="1">
      <alignment horizontal="center" vertical="center" wrapText="1"/>
    </xf>
    <xf numFmtId="0" fontId="23" fillId="0" borderId="0" xfId="0" applyFont="1"/>
    <xf numFmtId="164" fontId="25" fillId="2" borderId="10" xfId="1" applyNumberFormat="1" applyFont="1" applyFill="1" applyBorder="1"/>
    <xf numFmtId="164" fontId="26" fillId="0" borderId="11" xfId="1" applyNumberFormat="1" applyFont="1" applyBorder="1"/>
    <xf numFmtId="164" fontId="25" fillId="0" borderId="9" xfId="1" applyNumberFormat="1" applyFont="1" applyBorder="1"/>
    <xf numFmtId="164" fontId="25" fillId="0" borderId="9" xfId="1" applyNumberFormat="1" applyFont="1" applyFill="1" applyBorder="1"/>
    <xf numFmtId="164" fontId="25" fillId="2" borderId="15" xfId="1" applyNumberFormat="1" applyFont="1" applyFill="1" applyBorder="1"/>
    <xf numFmtId="164" fontId="26" fillId="0" borderId="16" xfId="1" applyNumberFormat="1" applyFont="1" applyBorder="1"/>
    <xf numFmtId="164" fontId="25" fillId="0" borderId="14" xfId="1" applyNumberFormat="1" applyFont="1" applyBorder="1"/>
    <xf numFmtId="164" fontId="25" fillId="0" borderId="0" xfId="1" applyNumberFormat="1" applyFont="1" applyBorder="1"/>
    <xf numFmtId="164" fontId="24" fillId="0" borderId="0" xfId="1" applyNumberFormat="1" applyFont="1"/>
    <xf numFmtId="164" fontId="24" fillId="0" borderId="6" xfId="1" applyNumberFormat="1" applyFont="1" applyBorder="1"/>
    <xf numFmtId="164" fontId="25" fillId="0" borderId="7" xfId="1" applyNumberFormat="1" applyFont="1" applyBorder="1"/>
    <xf numFmtId="164" fontId="25" fillId="0" borderId="21" xfId="1" applyNumberFormat="1" applyFont="1" applyBorder="1"/>
    <xf numFmtId="164" fontId="25" fillId="0" borderId="22" xfId="1" applyNumberFormat="1" applyFont="1" applyBorder="1"/>
    <xf numFmtId="164" fontId="23" fillId="0" borderId="0" xfId="0" applyNumberFormat="1" applyFont="1"/>
    <xf numFmtId="0" fontId="23" fillId="0" borderId="0" xfId="0" applyFont="1" applyFill="1"/>
    <xf numFmtId="9" fontId="21" fillId="0" borderId="11" xfId="2" applyFont="1" applyFill="1" applyBorder="1" applyAlignment="1">
      <alignment horizontal="center" vertical="center" wrapText="1"/>
    </xf>
    <xf numFmtId="9" fontId="21" fillId="0" borderId="20" xfId="2" applyFont="1" applyFill="1" applyBorder="1" applyAlignment="1">
      <alignment horizontal="center" vertical="center" wrapText="1"/>
    </xf>
    <xf numFmtId="10" fontId="21" fillId="0" borderId="11" xfId="2" applyNumberFormat="1" applyFont="1" applyFill="1" applyBorder="1" applyAlignment="1">
      <alignment horizontal="center" vertical="center" wrapText="1"/>
    </xf>
    <xf numFmtId="9" fontId="20" fillId="35" borderId="6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1" applyNumberFormat="1" applyFont="1" applyAlignment="1">
      <alignment wrapText="1"/>
    </xf>
    <xf numFmtId="165" fontId="28" fillId="0" borderId="0" xfId="2" applyNumberFormat="1" applyFont="1" applyAlignment="1">
      <alignment wrapText="1"/>
    </xf>
    <xf numFmtId="164" fontId="25" fillId="0" borderId="24" xfId="1" applyNumberFormat="1" applyFont="1" applyBorder="1"/>
    <xf numFmtId="0" fontId="29" fillId="0" borderId="5" xfId="4" applyFont="1" applyBorder="1" applyAlignment="1">
      <alignment horizontal="center" vertical="center"/>
    </xf>
    <xf numFmtId="164" fontId="20" fillId="0" borderId="8" xfId="4" applyNumberFormat="1" applyFont="1" applyBorder="1" applyAlignment="1">
      <alignment horizontal="center" vertical="center"/>
    </xf>
    <xf numFmtId="0" fontId="27" fillId="0" borderId="6" xfId="0" applyFont="1" applyBorder="1"/>
    <xf numFmtId="0" fontId="30" fillId="0" borderId="14" xfId="4" applyFont="1" applyBorder="1" applyAlignment="1">
      <alignment horizontal="center" vertical="center"/>
    </xf>
    <xf numFmtId="164" fontId="27" fillId="0" borderId="15" xfId="1" applyNumberFormat="1" applyFont="1" applyBorder="1"/>
    <xf numFmtId="165" fontId="20" fillId="2" borderId="8" xfId="2" applyNumberFormat="1" applyFont="1" applyFill="1" applyBorder="1" applyAlignment="1">
      <alignment horizontal="center" vertical="center"/>
    </xf>
    <xf numFmtId="164" fontId="20" fillId="0" borderId="16" xfId="1" applyNumberFormat="1" applyFont="1" applyFill="1" applyBorder="1" applyAlignment="1">
      <alignment horizontal="center" vertical="center"/>
    </xf>
    <xf numFmtId="0" fontId="22" fillId="0" borderId="0" xfId="0" applyFont="1"/>
    <xf numFmtId="0" fontId="20" fillId="0" borderId="0" xfId="0" applyFont="1" applyAlignment="1">
      <alignment horizontal="left"/>
    </xf>
    <xf numFmtId="0" fontId="20" fillId="0" borderId="9" xfId="0" applyFont="1" applyBorder="1"/>
    <xf numFmtId="0" fontId="27" fillId="2" borderId="6" xfId="0" applyFont="1" applyFill="1" applyBorder="1"/>
    <xf numFmtId="0" fontId="27" fillId="0" borderId="11" xfId="0" applyFont="1" applyBorder="1"/>
    <xf numFmtId="0" fontId="27" fillId="0" borderId="10" xfId="0" applyFont="1" applyBorder="1"/>
    <xf numFmtId="164" fontId="27" fillId="2" borderId="11" xfId="1" applyNumberFormat="1" applyFont="1" applyFill="1" applyBorder="1"/>
    <xf numFmtId="164" fontId="27" fillId="0" borderId="11" xfId="1" applyNumberFormat="1" applyFont="1" applyBorder="1"/>
    <xf numFmtId="164" fontId="27" fillId="0" borderId="10" xfId="1" applyNumberFormat="1" applyFont="1" applyBorder="1"/>
    <xf numFmtId="0" fontId="20" fillId="0" borderId="14" xfId="0" applyFont="1" applyBorder="1"/>
    <xf numFmtId="164" fontId="27" fillId="2" borderId="16" xfId="1" applyNumberFormat="1" applyFont="1" applyFill="1" applyBorder="1"/>
    <xf numFmtId="164" fontId="27" fillId="0" borderId="16" xfId="1" applyNumberFormat="1" applyFont="1" applyBorder="1"/>
    <xf numFmtId="164" fontId="20" fillId="0" borderId="0" xfId="1" applyNumberFormat="1" applyFont="1"/>
    <xf numFmtId="164" fontId="27" fillId="0" borderId="0" xfId="1" applyNumberFormat="1" applyFont="1"/>
    <xf numFmtId="0" fontId="27" fillId="3" borderId="11" xfId="0" applyFont="1" applyFill="1" applyBorder="1"/>
    <xf numFmtId="0" fontId="27" fillId="0" borderId="0" xfId="0" applyFont="1" applyAlignment="1">
      <alignment horizontal="left"/>
    </xf>
    <xf numFmtId="164" fontId="27" fillId="0" borderId="0" xfId="0" applyNumberFormat="1" applyFont="1"/>
    <xf numFmtId="164" fontId="25" fillId="37" borderId="9" xfId="1" applyNumberFormat="1" applyFont="1" applyFill="1" applyBorder="1"/>
    <xf numFmtId="164" fontId="25" fillId="37" borderId="11" xfId="1" applyNumberFormat="1" applyFont="1" applyFill="1" applyBorder="1"/>
    <xf numFmtId="164" fontId="25" fillId="0" borderId="14" xfId="1" applyNumberFormat="1" applyFont="1" applyFill="1" applyBorder="1"/>
    <xf numFmtId="164" fontId="25" fillId="37" borderId="14" xfId="1" applyNumberFormat="1" applyFont="1" applyFill="1" applyBorder="1"/>
    <xf numFmtId="164" fontId="25" fillId="37" borderId="16" xfId="1" applyNumberFormat="1" applyFont="1" applyFill="1" applyBorder="1"/>
    <xf numFmtId="0" fontId="20" fillId="0" borderId="11" xfId="0" applyFont="1" applyFill="1" applyBorder="1"/>
    <xf numFmtId="14" fontId="20" fillId="0" borderId="11" xfId="0" applyNumberFormat="1" applyFont="1" applyFill="1" applyBorder="1" applyAlignment="1">
      <alignment horizontal="left"/>
    </xf>
    <xf numFmtId="0" fontId="27" fillId="0" borderId="0" xfId="0" applyFont="1" applyFill="1"/>
    <xf numFmtId="0" fontId="27" fillId="0" borderId="11" xfId="0" applyFont="1" applyFill="1" applyBorder="1" applyAlignment="1">
      <alignment horizontal="center" vertical="center"/>
    </xf>
    <xf numFmtId="0" fontId="27" fillId="0" borderId="11" xfId="0" applyFont="1" applyFill="1" applyBorder="1"/>
    <xf numFmtId="3" fontId="27" fillId="0" borderId="11" xfId="0" applyNumberFormat="1" applyFont="1" applyFill="1" applyBorder="1"/>
    <xf numFmtId="0" fontId="23" fillId="0" borderId="11" xfId="0" applyFont="1" applyFill="1" applyBorder="1"/>
    <xf numFmtId="3" fontId="23" fillId="0" borderId="11" xfId="0" applyNumberFormat="1" applyFont="1" applyFill="1" applyBorder="1"/>
    <xf numFmtId="164" fontId="27" fillId="0" borderId="0" xfId="1" applyNumberFormat="1" applyFont="1" applyFill="1" applyBorder="1"/>
    <xf numFmtId="164" fontId="27" fillId="0" borderId="0" xfId="1" applyNumberFormat="1" applyFont="1" applyFill="1"/>
    <xf numFmtId="164" fontId="23" fillId="0" borderId="0" xfId="1" applyNumberFormat="1" applyFont="1" applyFill="1"/>
    <xf numFmtId="3" fontId="27" fillId="0" borderId="0" xfId="0" applyNumberFormat="1" applyFont="1" applyFill="1"/>
    <xf numFmtId="0" fontId="29" fillId="0" borderId="11" xfId="4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2" fillId="0" borderId="0" xfId="0" applyFont="1" applyFill="1"/>
    <xf numFmtId="3" fontId="27" fillId="3" borderId="11" xfId="0" applyNumberFormat="1" applyFont="1" applyFill="1" applyBorder="1"/>
    <xf numFmtId="164" fontId="20" fillId="36" borderId="23" xfId="1" applyNumberFormat="1" applyFont="1" applyFill="1" applyBorder="1" applyAlignment="1">
      <alignment horizontal="center" vertical="center" wrapText="1"/>
    </xf>
    <xf numFmtId="9" fontId="20" fillId="0" borderId="11" xfId="2" applyFont="1" applyFill="1" applyBorder="1" applyAlignment="1">
      <alignment horizontal="center" vertical="center" wrapText="1"/>
    </xf>
    <xf numFmtId="164" fontId="20" fillId="35" borderId="11" xfId="1" applyNumberFormat="1" applyFont="1" applyFill="1" applyBorder="1" applyAlignment="1">
      <alignment horizontal="center" vertical="center"/>
    </xf>
    <xf numFmtId="9" fontId="20" fillId="35" borderId="11" xfId="2" applyFont="1" applyFill="1" applyBorder="1" applyAlignment="1">
      <alignment horizontal="center" vertical="center"/>
    </xf>
    <xf numFmtId="165" fontId="20" fillId="0" borderId="0" xfId="2" applyNumberFormat="1" applyFont="1" applyFill="1" applyBorder="1" applyAlignment="1">
      <alignment horizontal="center" vertical="center" wrapText="1"/>
    </xf>
    <xf numFmtId="9" fontId="21" fillId="35" borderId="11" xfId="2" applyFont="1" applyFill="1" applyBorder="1" applyAlignment="1">
      <alignment horizontal="center" vertical="center"/>
    </xf>
    <xf numFmtId="164" fontId="20" fillId="0" borderId="12" xfId="1" applyNumberFormat="1" applyFont="1" applyFill="1" applyBorder="1" applyAlignment="1">
      <alignment horizontal="center" vertical="center" wrapText="1"/>
    </xf>
    <xf numFmtId="9" fontId="20" fillId="0" borderId="20" xfId="2" applyFont="1" applyFill="1" applyBorder="1" applyAlignment="1">
      <alignment horizontal="center" vertical="center" wrapText="1"/>
    </xf>
    <xf numFmtId="9" fontId="20" fillId="36" borderId="36" xfId="2" applyFont="1" applyFill="1" applyBorder="1" applyAlignment="1">
      <alignment horizontal="center" vertical="center" wrapText="1"/>
    </xf>
    <xf numFmtId="164" fontId="20" fillId="39" borderId="8" xfId="1" applyNumberFormat="1" applyFont="1" applyFill="1" applyBorder="1" applyAlignment="1">
      <alignment horizontal="center" vertical="center"/>
    </xf>
    <xf numFmtId="165" fontId="20" fillId="39" borderId="8" xfId="2" applyNumberFormat="1" applyFont="1" applyFill="1" applyBorder="1" applyAlignment="1">
      <alignment horizontal="center" vertical="center"/>
    </xf>
    <xf numFmtId="165" fontId="20" fillId="39" borderId="6" xfId="2" applyNumberFormat="1" applyFont="1" applyFill="1" applyBorder="1" applyAlignment="1">
      <alignment horizontal="center" vertical="center"/>
    </xf>
    <xf numFmtId="164" fontId="20" fillId="39" borderId="16" xfId="1" applyNumberFormat="1" applyFont="1" applyFill="1" applyBorder="1" applyAlignment="1">
      <alignment horizontal="center" vertical="center"/>
    </xf>
    <xf numFmtId="165" fontId="20" fillId="0" borderId="12" xfId="2" applyNumberFormat="1" applyFont="1" applyFill="1" applyBorder="1" applyAlignment="1">
      <alignment horizontal="center" vertical="center" wrapText="1"/>
    </xf>
    <xf numFmtId="164" fontId="20" fillId="2" borderId="16" xfId="1" applyNumberFormat="1" applyFont="1" applyFill="1" applyBorder="1" applyAlignment="1">
      <alignment horizontal="center" vertical="center"/>
    </xf>
    <xf numFmtId="9" fontId="20" fillId="36" borderId="17" xfId="2" applyFont="1" applyFill="1" applyBorder="1" applyAlignment="1">
      <alignment horizontal="center" vertical="center" wrapText="1"/>
    </xf>
    <xf numFmtId="165" fontId="20" fillId="36" borderId="36" xfId="2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64" fontId="27" fillId="0" borderId="0" xfId="1" applyNumberFormat="1" applyFont="1" applyAlignment="1">
      <alignment horizontal="center" vertical="center" wrapText="1"/>
    </xf>
    <xf numFmtId="165" fontId="27" fillId="0" borderId="0" xfId="2" applyNumberFormat="1" applyFont="1" applyAlignment="1">
      <alignment horizontal="center" vertical="center" wrapText="1"/>
    </xf>
    <xf numFmtId="9" fontId="20" fillId="36" borderId="15" xfId="2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/>
    </xf>
    <xf numFmtId="0" fontId="20" fillId="2" borderId="2" xfId="0" applyFont="1" applyFill="1" applyBorder="1" applyAlignment="1">
      <alignment horizontal="center" vertical="center"/>
    </xf>
    <xf numFmtId="164" fontId="20" fillId="2" borderId="2" xfId="1" applyNumberFormat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17" fontId="20" fillId="0" borderId="0" xfId="0" applyNumberFormat="1" applyFont="1" applyAlignment="1">
      <alignment horizontal="center" vertical="center"/>
    </xf>
    <xf numFmtId="164" fontId="20" fillId="38" borderId="11" xfId="1" applyNumberFormat="1" applyFont="1" applyFill="1" applyBorder="1" applyAlignment="1">
      <alignment horizontal="left" vertical="center"/>
    </xf>
    <xf numFmtId="164" fontId="20" fillId="38" borderId="5" xfId="1" applyNumberFormat="1" applyFont="1" applyFill="1" applyBorder="1" applyAlignment="1">
      <alignment horizontal="left" vertical="center"/>
    </xf>
    <xf numFmtId="164" fontId="20" fillId="39" borderId="8" xfId="1" applyNumberFormat="1" applyFont="1" applyFill="1" applyBorder="1" applyAlignment="1">
      <alignment horizontal="left" vertical="center"/>
    </xf>
    <xf numFmtId="164" fontId="20" fillId="39" borderId="16" xfId="1" applyNumberFormat="1" applyFont="1" applyFill="1" applyBorder="1" applyAlignment="1">
      <alignment horizontal="left" vertical="center"/>
    </xf>
    <xf numFmtId="9" fontId="20" fillId="0" borderId="0" xfId="2" applyFont="1" applyFill="1" applyBorder="1" applyAlignment="1">
      <alignment horizontal="center" vertical="center"/>
    </xf>
    <xf numFmtId="164" fontId="20" fillId="0" borderId="8" xfId="1" applyNumberFormat="1" applyFont="1" applyFill="1" applyBorder="1" applyAlignment="1">
      <alignment horizontal="left" vertical="center"/>
    </xf>
    <xf numFmtId="164" fontId="20" fillId="0" borderId="16" xfId="1" applyNumberFormat="1" applyFont="1" applyFill="1" applyBorder="1" applyAlignment="1">
      <alignment horizontal="left" vertical="center"/>
    </xf>
    <xf numFmtId="164" fontId="27" fillId="0" borderId="11" xfId="1" applyNumberFormat="1" applyFont="1" applyBorder="1" applyAlignment="1">
      <alignment horizontal="left" vertical="center"/>
    </xf>
    <xf numFmtId="164" fontId="27" fillId="0" borderId="11" xfId="1" applyNumberFormat="1" applyFont="1" applyBorder="1" applyAlignment="1">
      <alignment horizontal="center" vertical="center"/>
    </xf>
    <xf numFmtId="164" fontId="23" fillId="0" borderId="0" xfId="1" applyNumberFormat="1" applyFont="1"/>
    <xf numFmtId="0" fontId="24" fillId="0" borderId="1" xfId="0" applyFont="1" applyBorder="1"/>
    <xf numFmtId="0" fontId="24" fillId="0" borderId="2" xfId="0" applyFont="1" applyBorder="1"/>
    <xf numFmtId="0" fontId="24" fillId="0" borderId="5" xfId="0" applyFont="1" applyBorder="1"/>
    <xf numFmtId="0" fontId="25" fillId="2" borderId="6" xfId="0" applyFont="1" applyFill="1" applyBorder="1"/>
    <xf numFmtId="0" fontId="25" fillId="0" borderId="7" xfId="0" applyFont="1" applyBorder="1"/>
    <xf numFmtId="0" fontId="25" fillId="0" borderId="5" xfId="0" applyFont="1" applyBorder="1"/>
    <xf numFmtId="0" fontId="25" fillId="0" borderId="9" xfId="0" applyFont="1" applyBorder="1"/>
    <xf numFmtId="0" fontId="25" fillId="37" borderId="5" xfId="0" applyFont="1" applyFill="1" applyBorder="1"/>
    <xf numFmtId="0" fontId="25" fillId="37" borderId="8" xfId="0" applyFont="1" applyFill="1" applyBorder="1"/>
    <xf numFmtId="0" fontId="25" fillId="37" borderId="6" xfId="0" applyFont="1" applyFill="1" applyBorder="1"/>
    <xf numFmtId="0" fontId="25" fillId="0" borderId="8" xfId="0" applyFont="1" applyBorder="1"/>
    <xf numFmtId="0" fontId="25" fillId="0" borderId="6" xfId="0" applyFont="1" applyBorder="1"/>
    <xf numFmtId="9" fontId="25" fillId="37" borderId="10" xfId="2" applyFont="1" applyFill="1" applyBorder="1"/>
    <xf numFmtId="165" fontId="25" fillId="0" borderId="13" xfId="2" applyNumberFormat="1" applyFont="1" applyBorder="1"/>
    <xf numFmtId="9" fontId="25" fillId="37" borderId="15" xfId="2" applyFont="1" applyFill="1" applyBorder="1"/>
    <xf numFmtId="164" fontId="25" fillId="0" borderId="0" xfId="0" applyNumberFormat="1" applyFont="1"/>
    <xf numFmtId="9" fontId="25" fillId="0" borderId="0" xfId="2" applyFont="1" applyBorder="1"/>
    <xf numFmtId="165" fontId="25" fillId="0" borderId="0" xfId="2" applyNumberFormat="1" applyFont="1" applyBorder="1"/>
    <xf numFmtId="164" fontId="25" fillId="37" borderId="0" xfId="0" applyNumberFormat="1" applyFont="1" applyFill="1"/>
    <xf numFmtId="9" fontId="25" fillId="37" borderId="0" xfId="2" applyFont="1" applyFill="1" applyBorder="1"/>
    <xf numFmtId="0" fontId="25" fillId="0" borderId="0" xfId="0" applyFont="1"/>
    <xf numFmtId="0" fontId="25" fillId="37" borderId="9" xfId="0" applyFont="1" applyFill="1" applyBorder="1"/>
    <xf numFmtId="0" fontId="25" fillId="37" borderId="11" xfId="0" applyFont="1" applyFill="1" applyBorder="1"/>
    <xf numFmtId="0" fontId="25" fillId="37" borderId="10" xfId="0" applyFont="1" applyFill="1" applyBorder="1"/>
    <xf numFmtId="0" fontId="25" fillId="0" borderId="11" xfId="0" applyFont="1" applyBorder="1"/>
    <xf numFmtId="0" fontId="25" fillId="0" borderId="10" xfId="0" applyFont="1" applyBorder="1"/>
    <xf numFmtId="9" fontId="25" fillId="37" borderId="0" xfId="2" applyFont="1" applyFill="1"/>
    <xf numFmtId="9" fontId="25" fillId="0" borderId="0" xfId="2" applyFont="1"/>
    <xf numFmtId="14" fontId="22" fillId="0" borderId="0" xfId="1" applyNumberFormat="1" applyFont="1"/>
    <xf numFmtId="0" fontId="30" fillId="0" borderId="0" xfId="4" applyFont="1" applyAlignment="1">
      <alignment horizontal="left" vertical="center"/>
    </xf>
    <xf numFmtId="0" fontId="30" fillId="0" borderId="0" xfId="4" applyFont="1"/>
    <xf numFmtId="9" fontId="30" fillId="0" borderId="0" xfId="2" applyFont="1" applyBorder="1"/>
    <xf numFmtId="166" fontId="30" fillId="0" borderId="0" xfId="4" applyNumberFormat="1" applyFont="1"/>
    <xf numFmtId="0" fontId="23" fillId="3" borderId="11" xfId="0" applyFont="1" applyFill="1" applyBorder="1"/>
    <xf numFmtId="164" fontId="27" fillId="0" borderId="11" xfId="1" applyNumberFormat="1" applyFont="1" applyFill="1" applyBorder="1" applyAlignment="1">
      <alignment horizontal="left" vertical="center"/>
    </xf>
    <xf numFmtId="14" fontId="23" fillId="0" borderId="0" xfId="1" applyNumberFormat="1" applyFont="1"/>
    <xf numFmtId="164" fontId="25" fillId="0" borderId="0" xfId="0" applyNumberFormat="1" applyFont="1" applyFill="1"/>
    <xf numFmtId="9" fontId="25" fillId="0" borderId="0" xfId="2" applyFont="1" applyFill="1"/>
    <xf numFmtId="164" fontId="20" fillId="0" borderId="0" xfId="1" applyNumberFormat="1" applyFont="1" applyAlignment="1">
      <alignment horizontal="center" vertical="center" wrapText="1"/>
    </xf>
    <xf numFmtId="1" fontId="30" fillId="0" borderId="0" xfId="4" applyNumberFormat="1" applyFont="1"/>
    <xf numFmtId="14" fontId="29" fillId="40" borderId="37" xfId="4" applyNumberFormat="1" applyFont="1" applyFill="1" applyBorder="1" applyAlignment="1">
      <alignment horizontal="left"/>
    </xf>
    <xf numFmtId="164" fontId="20" fillId="2" borderId="8" xfId="5" applyNumberFormat="1" applyFont="1" applyFill="1" applyBorder="1" applyAlignment="1">
      <alignment horizontal="left" vertical="center"/>
    </xf>
    <xf numFmtId="0" fontId="20" fillId="0" borderId="8" xfId="4" applyFont="1" applyBorder="1"/>
    <xf numFmtId="9" fontId="20" fillId="0" borderId="8" xfId="2" applyFont="1" applyFill="1" applyBorder="1"/>
    <xf numFmtId="164" fontId="20" fillId="41" borderId="8" xfId="5" applyNumberFormat="1" applyFont="1" applyFill="1" applyBorder="1" applyAlignment="1"/>
    <xf numFmtId="166" fontId="28" fillId="0" borderId="6" xfId="5" applyNumberFormat="1" applyFont="1" applyFill="1" applyBorder="1"/>
    <xf numFmtId="164" fontId="20" fillId="2" borderId="23" xfId="5" applyNumberFormat="1" applyFont="1" applyFill="1" applyBorder="1" applyAlignment="1">
      <alignment horizontal="left" vertical="center"/>
    </xf>
    <xf numFmtId="164" fontId="20" fillId="2" borderId="23" xfId="5" applyNumberFormat="1" applyFont="1" applyFill="1" applyBorder="1" applyAlignment="1">
      <alignment horizontal="center" vertical="center" wrapText="1"/>
    </xf>
    <xf numFmtId="9" fontId="20" fillId="2" borderId="23" xfId="2" applyFont="1" applyFill="1" applyBorder="1" applyAlignment="1">
      <alignment horizontal="center" vertical="center" wrapText="1"/>
    </xf>
    <xf numFmtId="164" fontId="22" fillId="41" borderId="23" xfId="5" applyNumberFormat="1" applyFont="1" applyFill="1" applyBorder="1" applyAlignment="1">
      <alignment horizontal="center" vertical="center" wrapText="1"/>
    </xf>
    <xf numFmtId="164" fontId="22" fillId="3" borderId="23" xfId="5" applyNumberFormat="1" applyFont="1" applyFill="1" applyBorder="1" applyAlignment="1">
      <alignment horizontal="center" vertical="center" wrapText="1"/>
    </xf>
    <xf numFmtId="166" fontId="20" fillId="2" borderId="38" xfId="5" applyNumberFormat="1" applyFont="1" applyFill="1" applyBorder="1" applyAlignment="1">
      <alignment horizontal="center" vertical="center" wrapText="1"/>
    </xf>
    <xf numFmtId="9" fontId="30" fillId="0" borderId="0" xfId="2" applyFont="1" applyFill="1" applyBorder="1"/>
    <xf numFmtId="164" fontId="23" fillId="0" borderId="0" xfId="1" applyNumberFormat="1" applyFont="1" applyBorder="1"/>
    <xf numFmtId="9" fontId="20" fillId="2" borderId="0" xfId="2" applyFont="1" applyFill="1" applyBorder="1"/>
    <xf numFmtId="164" fontId="20" fillId="2" borderId="0" xfId="1" applyNumberFormat="1" applyFont="1" applyFill="1" applyBorder="1"/>
    <xf numFmtId="166" fontId="20" fillId="2" borderId="0" xfId="5" applyNumberFormat="1" applyFont="1" applyFill="1" applyBorder="1"/>
    <xf numFmtId="9" fontId="30" fillId="0" borderId="40" xfId="2" applyFont="1" applyFill="1" applyBorder="1"/>
    <xf numFmtId="0" fontId="23" fillId="0" borderId="40" xfId="0" applyFont="1" applyBorder="1" applyAlignment="1">
      <alignment horizontal="left" indent="1"/>
    </xf>
    <xf numFmtId="164" fontId="23" fillId="0" borderId="40" xfId="1" applyNumberFormat="1" applyFont="1" applyBorder="1"/>
    <xf numFmtId="166" fontId="27" fillId="0" borderId="41" xfId="5" applyNumberFormat="1" applyFont="1" applyFill="1" applyBorder="1"/>
    <xf numFmtId="166" fontId="27" fillId="0" borderId="43" xfId="5" applyNumberFormat="1" applyFont="1" applyFill="1" applyBorder="1"/>
    <xf numFmtId="9" fontId="30" fillId="0" borderId="45" xfId="2" applyFont="1" applyFill="1" applyBorder="1"/>
    <xf numFmtId="0" fontId="23" fillId="0" borderId="45" xfId="0" applyFont="1" applyBorder="1" applyAlignment="1">
      <alignment horizontal="left" indent="1"/>
    </xf>
    <xf numFmtId="164" fontId="23" fillId="0" borderId="45" xfId="1" applyNumberFormat="1" applyFont="1" applyBorder="1"/>
    <xf numFmtId="166" fontId="27" fillId="0" borderId="46" xfId="5" applyNumberFormat="1" applyFont="1" applyFill="1" applyBorder="1"/>
    <xf numFmtId="0" fontId="24" fillId="0" borderId="47" xfId="0" applyFont="1" applyBorder="1"/>
    <xf numFmtId="0" fontId="25" fillId="0" borderId="14" xfId="0" applyFont="1" applyBorder="1"/>
    <xf numFmtId="0" fontId="24" fillId="0" borderId="0" xfId="0" applyFont="1"/>
    <xf numFmtId="0" fontId="24" fillId="0" borderId="0" xfId="0" applyFont="1" applyFill="1" applyBorder="1" applyAlignment="1">
      <alignment horizontal="center"/>
    </xf>
    <xf numFmtId="0" fontId="25" fillId="0" borderId="0" xfId="0" applyFont="1" applyFill="1" applyBorder="1"/>
    <xf numFmtId="9" fontId="25" fillId="0" borderId="0" xfId="2" applyFont="1" applyFill="1" applyBorder="1"/>
    <xf numFmtId="0" fontId="25" fillId="0" borderId="0" xfId="0" applyFont="1" applyFill="1"/>
    <xf numFmtId="0" fontId="23" fillId="0" borderId="0" xfId="0" applyFont="1" applyAlignment="1">
      <alignment wrapText="1"/>
    </xf>
    <xf numFmtId="9" fontId="30" fillId="0" borderId="2" xfId="2" applyFont="1" applyFill="1" applyBorder="1"/>
    <xf numFmtId="0" fontId="23" fillId="0" borderId="2" xfId="0" applyFont="1" applyBorder="1" applyAlignment="1">
      <alignment horizontal="left" indent="1"/>
    </xf>
    <xf numFmtId="164" fontId="23" fillId="0" borderId="2" xfId="1" applyNumberFormat="1" applyFont="1" applyBorder="1"/>
    <xf numFmtId="166" fontId="27" fillId="0" borderId="4" xfId="5" applyNumberFormat="1" applyFont="1" applyFill="1" applyBorder="1"/>
    <xf numFmtId="0" fontId="24" fillId="0" borderId="3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37" borderId="3" xfId="0" applyFont="1" applyFill="1" applyBorder="1" applyAlignment="1">
      <alignment horizontal="center"/>
    </xf>
    <xf numFmtId="0" fontId="24" fillId="37" borderId="2" xfId="0" applyFont="1" applyFill="1" applyBorder="1" applyAlignment="1">
      <alignment horizontal="center"/>
    </xf>
    <xf numFmtId="0" fontId="24" fillId="37" borderId="4" xfId="0" applyFont="1" applyFill="1" applyBorder="1" applyAlignment="1">
      <alignment horizontal="center"/>
    </xf>
    <xf numFmtId="0" fontId="24" fillId="37" borderId="5" xfId="0" applyFont="1" applyFill="1" applyBorder="1" applyAlignment="1">
      <alignment horizontal="center"/>
    </xf>
    <xf numFmtId="0" fontId="24" fillId="37" borderId="8" xfId="0" applyFont="1" applyFill="1" applyBorder="1" applyAlignment="1">
      <alignment horizontal="center"/>
    </xf>
    <xf numFmtId="0" fontId="24" fillId="37" borderId="6" xfId="0" applyFont="1" applyFill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20" fillId="0" borderId="18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164" fontId="20" fillId="3" borderId="8" xfId="5" applyNumberFormat="1" applyFont="1" applyFill="1" applyBorder="1" applyAlignment="1">
      <alignment horizontal="center"/>
    </xf>
    <xf numFmtId="164" fontId="20" fillId="0" borderId="8" xfId="5" applyNumberFormat="1" applyFont="1" applyFill="1" applyBorder="1" applyAlignment="1">
      <alignment horizontal="center"/>
    </xf>
    <xf numFmtId="0" fontId="20" fillId="2" borderId="0" xfId="4" applyFont="1" applyFill="1" applyBorder="1"/>
    <xf numFmtId="0" fontId="30" fillId="0" borderId="0" xfId="4" applyFont="1" applyFill="1" applyBorder="1"/>
    <xf numFmtId="0" fontId="20" fillId="2" borderId="0" xfId="4" applyFont="1" applyFill="1" applyBorder="1" applyAlignment="1">
      <alignment horizontal="left"/>
    </xf>
    <xf numFmtId="0" fontId="30" fillId="0" borderId="45" xfId="4" applyFont="1" applyFill="1" applyBorder="1"/>
    <xf numFmtId="0" fontId="27" fillId="0" borderId="0" xfId="4" applyFont="1" applyFill="1" applyBorder="1" applyAlignment="1">
      <alignment horizontal="left" vertical="center"/>
    </xf>
    <xf numFmtId="0" fontId="27" fillId="0" borderId="42" xfId="4" applyFont="1" applyFill="1" applyBorder="1" applyAlignment="1">
      <alignment horizontal="left" vertical="center"/>
    </xf>
    <xf numFmtId="0" fontId="30" fillId="0" borderId="40" xfId="4" applyFont="1" applyFill="1" applyBorder="1"/>
    <xf numFmtId="0" fontId="27" fillId="0" borderId="40" xfId="4" applyFont="1" applyFill="1" applyBorder="1" applyAlignment="1">
      <alignment horizontal="left" vertical="center"/>
    </xf>
    <xf numFmtId="0" fontId="27" fillId="0" borderId="39" xfId="4" applyFont="1" applyFill="1" applyBorder="1" applyAlignment="1">
      <alignment horizontal="left" vertical="center"/>
    </xf>
    <xf numFmtId="0" fontId="27" fillId="0" borderId="44" xfId="4" applyFont="1" applyFill="1" applyBorder="1" applyAlignment="1">
      <alignment horizontal="left" vertical="center"/>
    </xf>
    <xf numFmtId="0" fontId="27" fillId="0" borderId="3" xfId="4" applyFont="1" applyFill="1" applyBorder="1" applyAlignment="1">
      <alignment horizontal="left" vertical="center"/>
    </xf>
    <xf numFmtId="0" fontId="30" fillId="0" borderId="2" xfId="4" applyFont="1" applyFill="1" applyBorder="1"/>
    <xf numFmtId="0" fontId="23" fillId="0" borderId="0" xfId="0" applyFont="1" applyBorder="1" applyAlignment="1">
      <alignment horizontal="left" indent="1"/>
    </xf>
    <xf numFmtId="0" fontId="27" fillId="0" borderId="2" xfId="4" applyFont="1" applyFill="1" applyBorder="1" applyAlignment="1">
      <alignment horizontal="left" vertical="center"/>
    </xf>
    <xf numFmtId="0" fontId="27" fillId="0" borderId="45" xfId="4" applyFont="1" applyFill="1" applyBorder="1" applyAlignment="1">
      <alignment horizontal="left" vertical="center"/>
    </xf>
  </cellXfs>
  <cellStyles count="50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" xfId="1" builtinId="3"/>
    <cellStyle name="Comma 2 2 2" xfId="5" xr:uid="{00000000-0005-0000-0000-000001000000}"/>
    <cellStyle name="Explanatory Text" xfId="24" builtinId="53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2" xfId="8" xr:uid="{00000000-0005-0000-0000-000003000000}"/>
    <cellStyle name="Normal 2 2" xfId="3" xr:uid="{00000000-0005-0000-0000-000004000000}"/>
    <cellStyle name="Normal 2 2 2" xfId="4" xr:uid="{00000000-0005-0000-0000-000005000000}"/>
    <cellStyle name="Normal 3 2 2" xfId="6" xr:uid="{00000000-0005-0000-0000-000006000000}"/>
    <cellStyle name="Note" xfId="23" builtinId="10" customBuiltin="1"/>
    <cellStyle name="Output" xfId="18" builtinId="21" customBuiltin="1"/>
    <cellStyle name="Percent" xfId="2" builtinId="5"/>
    <cellStyle name="Percent 2 2 2" xfId="7" xr:uid="{00000000-0005-0000-0000-000008000000}"/>
    <cellStyle name="Title" xfId="9" builtinId="15" customBuiltin="1"/>
    <cellStyle name="Total" xfId="25" builtinId="25" customBuiltin="1"/>
    <cellStyle name="Warning Text" xfId="2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F285"/>
  <sheetViews>
    <sheetView topLeftCell="D1" zoomScale="90" zoomScaleNormal="90" workbookViewId="0">
      <selection activeCell="T14" sqref="T14:T18"/>
    </sheetView>
  </sheetViews>
  <sheetFormatPr defaultColWidth="6.44140625" defaultRowHeight="10.199999999999999" x14ac:dyDescent="0.2"/>
  <cols>
    <col min="1" max="1" width="7.44140625" style="141" bestFit="1" customWidth="1"/>
    <col min="2" max="2" width="6.44140625" style="141" bestFit="1" customWidth="1"/>
    <col min="3" max="3" width="11.109375" style="141" bestFit="1" customWidth="1"/>
    <col min="4" max="4" width="10.44140625" style="141" bestFit="1" customWidth="1"/>
    <col min="5" max="5" width="6.6640625" style="141" bestFit="1" customWidth="1"/>
    <col min="6" max="6" width="12" style="141" bestFit="1" customWidth="1"/>
    <col min="7" max="8" width="6.6640625" style="141" bestFit="1" customWidth="1"/>
    <col min="9" max="9" width="7.5546875" style="141" bestFit="1" customWidth="1"/>
    <col min="10" max="10" width="6.109375" style="141" bestFit="1" customWidth="1"/>
    <col min="11" max="11" width="6" style="141" bestFit="1" customWidth="1"/>
    <col min="12" max="12" width="7.5546875" style="141" bestFit="1" customWidth="1"/>
    <col min="13" max="13" width="6.109375" style="141" bestFit="1" customWidth="1"/>
    <col min="14" max="14" width="6" style="141" bestFit="1" customWidth="1"/>
    <col min="15" max="15" width="7.5546875" style="141" bestFit="1" customWidth="1"/>
    <col min="16" max="16" width="5.21875" style="96" customWidth="1"/>
    <col min="17" max="17" width="7.44140625" style="141" bestFit="1" customWidth="1"/>
    <col min="18" max="18" width="6.44140625" style="141" bestFit="1" customWidth="1"/>
    <col min="19" max="19" width="6.44140625" style="141" customWidth="1"/>
    <col min="20" max="21" width="6.109375" style="141" customWidth="1"/>
    <col min="22" max="22" width="12" style="141" bestFit="1" customWidth="1"/>
    <col min="23" max="23" width="7.88671875" style="141" customWidth="1"/>
    <col min="24" max="24" width="6" style="141" bestFit="1" customWidth="1"/>
    <col min="25" max="25" width="11.33203125" style="141" bestFit="1" customWidth="1"/>
    <col min="26" max="26" width="5.33203125" style="141" customWidth="1"/>
    <col min="27" max="27" width="6" style="141" bestFit="1" customWidth="1"/>
    <col min="28" max="28" width="7.5546875" style="141" bestFit="1" customWidth="1"/>
    <col min="29" max="29" width="6.109375" style="141" bestFit="1" customWidth="1"/>
    <col min="30" max="30" width="6" style="141" bestFit="1" customWidth="1"/>
    <col min="31" max="31" width="7.5546875" style="141" bestFit="1" customWidth="1"/>
    <col min="32" max="16384" width="6.44140625" style="141"/>
  </cols>
  <sheetData>
    <row r="1" spans="1:31" ht="10.050000000000001" customHeight="1" x14ac:dyDescent="0.2"/>
    <row r="2" spans="1:31" ht="10.050000000000001" customHeight="1" thickBot="1" x14ac:dyDescent="0.25">
      <c r="Y2" s="177">
        <v>45951</v>
      </c>
    </row>
    <row r="3" spans="1:31" ht="10.050000000000001" customHeight="1" thickBot="1" x14ac:dyDescent="0.25">
      <c r="A3" s="208"/>
      <c r="B3" s="142"/>
      <c r="C3" s="143"/>
      <c r="D3" s="143"/>
      <c r="E3" s="220" t="s">
        <v>1</v>
      </c>
      <c r="F3" s="144" t="s">
        <v>67</v>
      </c>
      <c r="G3" s="224" t="s">
        <v>2</v>
      </c>
      <c r="H3" s="225"/>
      <c r="I3" s="226"/>
      <c r="J3" s="233" t="s">
        <v>3</v>
      </c>
      <c r="K3" s="234"/>
      <c r="L3" s="235"/>
      <c r="M3" s="224" t="s">
        <v>4</v>
      </c>
      <c r="N3" s="225"/>
      <c r="O3" s="226"/>
      <c r="P3" s="211"/>
      <c r="Q3" s="208"/>
      <c r="R3" s="142"/>
      <c r="S3" s="143"/>
      <c r="T3" s="143"/>
      <c r="U3" s="222" t="s">
        <v>1</v>
      </c>
      <c r="V3" s="144" t="s">
        <v>67</v>
      </c>
      <c r="W3" s="224" t="s">
        <v>2</v>
      </c>
      <c r="X3" s="225"/>
      <c r="Y3" s="226"/>
      <c r="Z3" s="233" t="s">
        <v>3</v>
      </c>
      <c r="AA3" s="234"/>
      <c r="AB3" s="235"/>
      <c r="AC3" s="224" t="s">
        <v>4</v>
      </c>
      <c r="AD3" s="225"/>
      <c r="AE3" s="226"/>
    </row>
    <row r="4" spans="1:31" ht="10.050000000000001" customHeight="1" x14ac:dyDescent="0.2">
      <c r="A4" s="147"/>
      <c r="B4" s="145" t="s">
        <v>5</v>
      </c>
      <c r="C4" s="146" t="s">
        <v>6</v>
      </c>
      <c r="D4" s="146" t="s">
        <v>66</v>
      </c>
      <c r="E4" s="147" t="s">
        <v>7</v>
      </c>
      <c r="F4" s="148" t="s">
        <v>7</v>
      </c>
      <c r="G4" s="149" t="s">
        <v>7</v>
      </c>
      <c r="H4" s="150" t="s">
        <v>8</v>
      </c>
      <c r="I4" s="151" t="s">
        <v>9</v>
      </c>
      <c r="J4" s="147" t="s">
        <v>7</v>
      </c>
      <c r="K4" s="152" t="s">
        <v>8</v>
      </c>
      <c r="L4" s="153" t="s">
        <v>9</v>
      </c>
      <c r="M4" s="149" t="s">
        <v>7</v>
      </c>
      <c r="N4" s="150" t="s">
        <v>8</v>
      </c>
      <c r="O4" s="151" t="s">
        <v>9</v>
      </c>
      <c r="P4" s="212"/>
      <c r="Q4" s="147"/>
      <c r="R4" s="145" t="s">
        <v>5</v>
      </c>
      <c r="S4" s="146" t="s">
        <v>6</v>
      </c>
      <c r="T4" s="146" t="s">
        <v>66</v>
      </c>
      <c r="U4" s="147" t="s">
        <v>7</v>
      </c>
      <c r="V4" s="148" t="s">
        <v>7</v>
      </c>
      <c r="W4" s="149" t="s">
        <v>7</v>
      </c>
      <c r="X4" s="150" t="s">
        <v>8</v>
      </c>
      <c r="Y4" s="151" t="s">
        <v>9</v>
      </c>
      <c r="Z4" s="147" t="s">
        <v>7</v>
      </c>
      <c r="AA4" s="152" t="s">
        <v>8</v>
      </c>
      <c r="AB4" s="153" t="s">
        <v>9</v>
      </c>
      <c r="AC4" s="149" t="s">
        <v>7</v>
      </c>
      <c r="AD4" s="150" t="s">
        <v>8</v>
      </c>
      <c r="AE4" s="151" t="s">
        <v>9</v>
      </c>
    </row>
    <row r="5" spans="1:31" ht="10.050000000000001" customHeight="1" x14ac:dyDescent="0.2">
      <c r="A5" s="148" t="s">
        <v>10</v>
      </c>
      <c r="B5" s="32">
        <v>40105</v>
      </c>
      <c r="C5" s="33">
        <v>14506</v>
      </c>
      <c r="D5" s="33">
        <v>819</v>
      </c>
      <c r="E5" s="33">
        <v>54238</v>
      </c>
      <c r="F5" s="35">
        <v>164265</v>
      </c>
      <c r="G5" s="81">
        <v>133730</v>
      </c>
      <c r="H5" s="82">
        <v>62761</v>
      </c>
      <c r="I5" s="154">
        <f t="shared" ref="I5:I10" si="0">H5/G5</f>
        <v>0.46931129888581469</v>
      </c>
      <c r="J5" s="34">
        <v>1526</v>
      </c>
      <c r="K5" s="34">
        <v>1524</v>
      </c>
      <c r="L5" s="155">
        <f t="shared" ref="L5:L10" si="1">K5/J5</f>
        <v>0.9986893840104849</v>
      </c>
      <c r="M5" s="81"/>
      <c r="N5" s="82"/>
      <c r="O5" s="154"/>
      <c r="P5" s="213"/>
      <c r="Q5" s="148" t="s">
        <v>10</v>
      </c>
      <c r="R5" s="32">
        <v>40105</v>
      </c>
      <c r="S5" s="33">
        <v>14097</v>
      </c>
      <c r="T5" s="33">
        <v>819</v>
      </c>
      <c r="U5" s="33"/>
      <c r="V5" s="35">
        <v>9838</v>
      </c>
      <c r="W5" s="81"/>
      <c r="X5" s="82"/>
      <c r="Y5" s="154"/>
      <c r="Z5" s="34">
        <v>835</v>
      </c>
      <c r="AA5" s="34">
        <v>835</v>
      </c>
      <c r="AB5" s="155">
        <f>AA5/Z5</f>
        <v>1</v>
      </c>
      <c r="AC5" s="81"/>
      <c r="AD5" s="82"/>
      <c r="AE5" s="154"/>
    </row>
    <row r="6" spans="1:31" ht="10.050000000000001" customHeight="1" x14ac:dyDescent="0.2">
      <c r="A6" s="148" t="s">
        <v>11</v>
      </c>
      <c r="B6" s="32">
        <v>9320</v>
      </c>
      <c r="C6" s="33">
        <v>6068</v>
      </c>
      <c r="D6" s="33">
        <v>964</v>
      </c>
      <c r="E6" s="33">
        <v>27422</v>
      </c>
      <c r="F6" s="35">
        <v>82002</v>
      </c>
      <c r="G6" s="81">
        <v>89034</v>
      </c>
      <c r="H6" s="82">
        <v>37430</v>
      </c>
      <c r="I6" s="154">
        <f t="shared" si="0"/>
        <v>0.42040119504908235</v>
      </c>
      <c r="J6" s="34">
        <v>409</v>
      </c>
      <c r="K6" s="34">
        <v>409</v>
      </c>
      <c r="L6" s="155">
        <f t="shared" si="1"/>
        <v>1</v>
      </c>
      <c r="M6" s="81">
        <v>4688</v>
      </c>
      <c r="N6" s="82">
        <v>1624</v>
      </c>
      <c r="O6" s="154">
        <f>N6/M6</f>
        <v>0.34641638225255972</v>
      </c>
      <c r="P6" s="213"/>
      <c r="Q6" s="148" t="s">
        <v>11</v>
      </c>
      <c r="R6" s="32">
        <v>9320</v>
      </c>
      <c r="S6" s="33">
        <v>5845</v>
      </c>
      <c r="T6" s="33">
        <v>964</v>
      </c>
      <c r="U6" s="33"/>
      <c r="V6" s="35">
        <v>6940</v>
      </c>
      <c r="W6" s="81">
        <v>1374</v>
      </c>
      <c r="X6" s="82">
        <v>644</v>
      </c>
      <c r="Y6" s="154">
        <f t="shared" ref="Y6:Y11" si="2">X6/W6</f>
        <v>0.46870451237263466</v>
      </c>
      <c r="Z6" s="34">
        <v>997</v>
      </c>
      <c r="AA6" s="34">
        <v>995</v>
      </c>
      <c r="AB6" s="155">
        <f t="shared" ref="AB6:AB10" si="3">AA6/Z6</f>
        <v>0.99799398194583755</v>
      </c>
      <c r="AC6" s="81">
        <v>279</v>
      </c>
      <c r="AD6" s="82">
        <v>85</v>
      </c>
      <c r="AE6" s="154">
        <f>AD6/AC6</f>
        <v>0.30465949820788529</v>
      </c>
    </row>
    <row r="7" spans="1:31" ht="10.050000000000001" customHeight="1" x14ac:dyDescent="0.2">
      <c r="A7" s="148" t="s">
        <v>12</v>
      </c>
      <c r="B7" s="32">
        <v>3710</v>
      </c>
      <c r="C7" s="33">
        <v>2106</v>
      </c>
      <c r="D7" s="33">
        <v>479</v>
      </c>
      <c r="E7" s="33">
        <v>10780</v>
      </c>
      <c r="F7" s="35">
        <v>31679</v>
      </c>
      <c r="G7" s="81">
        <v>36896</v>
      </c>
      <c r="H7" s="82">
        <v>13331</v>
      </c>
      <c r="I7" s="154">
        <f t="shared" si="0"/>
        <v>0.36131287944492629</v>
      </c>
      <c r="J7" s="34">
        <v>3226</v>
      </c>
      <c r="K7" s="34">
        <v>3220</v>
      </c>
      <c r="L7" s="155">
        <f t="shared" si="1"/>
        <v>0.9981401115933044</v>
      </c>
      <c r="M7" s="81">
        <v>11013</v>
      </c>
      <c r="N7" s="82">
        <v>3270</v>
      </c>
      <c r="O7" s="154">
        <f>N7/M7</f>
        <v>0.29692181966766551</v>
      </c>
      <c r="P7" s="213"/>
      <c r="Q7" s="148" t="s">
        <v>12</v>
      </c>
      <c r="R7" s="32">
        <v>3710</v>
      </c>
      <c r="S7" s="33">
        <v>1982</v>
      </c>
      <c r="T7" s="33">
        <v>479</v>
      </c>
      <c r="U7" s="33"/>
      <c r="V7" s="35">
        <v>2559</v>
      </c>
      <c r="W7" s="81">
        <v>1682</v>
      </c>
      <c r="X7" s="82">
        <v>728</v>
      </c>
      <c r="Y7" s="154">
        <f t="shared" si="2"/>
        <v>0.43281807372175979</v>
      </c>
      <c r="Z7" s="34">
        <v>506</v>
      </c>
      <c r="AA7" s="34">
        <v>505</v>
      </c>
      <c r="AB7" s="155">
        <f t="shared" si="3"/>
        <v>0.99802371541501977</v>
      </c>
      <c r="AC7" s="81">
        <v>746</v>
      </c>
      <c r="AD7" s="82">
        <v>217</v>
      </c>
      <c r="AE7" s="154">
        <f>AD7/AC7</f>
        <v>0.29088471849865954</v>
      </c>
    </row>
    <row r="8" spans="1:31" ht="10.050000000000001" customHeight="1" x14ac:dyDescent="0.2">
      <c r="A8" s="148" t="s">
        <v>13</v>
      </c>
      <c r="B8" s="32">
        <v>10456</v>
      </c>
      <c r="C8" s="33">
        <v>9786</v>
      </c>
      <c r="D8" s="33">
        <v>2800</v>
      </c>
      <c r="E8" s="33">
        <v>21841</v>
      </c>
      <c r="F8" s="35">
        <v>86863</v>
      </c>
      <c r="G8" s="81">
        <v>97883</v>
      </c>
      <c r="H8" s="82">
        <v>27210</v>
      </c>
      <c r="I8" s="154">
        <f t="shared" si="0"/>
        <v>0.27798494120531653</v>
      </c>
      <c r="J8" s="34">
        <v>15196</v>
      </c>
      <c r="K8" s="34">
        <v>15008</v>
      </c>
      <c r="L8" s="155">
        <f t="shared" si="1"/>
        <v>0.98762832324295868</v>
      </c>
      <c r="M8" s="81">
        <v>26944</v>
      </c>
      <c r="N8" s="82">
        <v>6278</v>
      </c>
      <c r="O8" s="154">
        <f>N8/M8</f>
        <v>0.23300178147268408</v>
      </c>
      <c r="P8" s="213"/>
      <c r="Q8" s="148" t="s">
        <v>13</v>
      </c>
      <c r="R8" s="32">
        <v>10456</v>
      </c>
      <c r="S8" s="33">
        <v>9676</v>
      </c>
      <c r="T8" s="33">
        <v>2800</v>
      </c>
      <c r="U8" s="33"/>
      <c r="V8" s="35">
        <v>7666</v>
      </c>
      <c r="W8" s="81">
        <v>10806</v>
      </c>
      <c r="X8" s="82">
        <v>3460</v>
      </c>
      <c r="Y8" s="154">
        <f t="shared" si="2"/>
        <v>0.32019248565611697</v>
      </c>
      <c r="Z8" s="34">
        <v>2329</v>
      </c>
      <c r="AA8" s="34">
        <v>2313</v>
      </c>
      <c r="AB8" s="155">
        <f t="shared" si="3"/>
        <v>0.99313009875483038</v>
      </c>
      <c r="AC8" s="81">
        <v>1962</v>
      </c>
      <c r="AD8" s="82">
        <v>404</v>
      </c>
      <c r="AE8" s="154">
        <f>AD8/AC8</f>
        <v>0.20591233435270132</v>
      </c>
    </row>
    <row r="9" spans="1:31" ht="10.050000000000001" customHeight="1" thickBot="1" x14ac:dyDescent="0.25">
      <c r="A9" s="209" t="s">
        <v>0</v>
      </c>
      <c r="B9" s="36">
        <v>6479</v>
      </c>
      <c r="C9" s="37">
        <v>6415</v>
      </c>
      <c r="D9" s="37">
        <v>2634</v>
      </c>
      <c r="E9" s="37">
        <v>13854</v>
      </c>
      <c r="F9" s="83">
        <v>34560</v>
      </c>
      <c r="G9" s="84">
        <v>73944</v>
      </c>
      <c r="H9" s="85">
        <v>13919</v>
      </c>
      <c r="I9" s="154">
        <f t="shared" si="0"/>
        <v>0.18823704424970247</v>
      </c>
      <c r="J9" s="38">
        <v>13069</v>
      </c>
      <c r="K9" s="38">
        <v>12495</v>
      </c>
      <c r="L9" s="155">
        <f t="shared" si="1"/>
        <v>0.95607927155865025</v>
      </c>
      <c r="M9" s="84">
        <v>17589</v>
      </c>
      <c r="N9" s="85">
        <v>3228</v>
      </c>
      <c r="O9" s="156">
        <f>N9/M9</f>
        <v>0.18352379327989085</v>
      </c>
      <c r="P9" s="213"/>
      <c r="Q9" s="209" t="s">
        <v>0</v>
      </c>
      <c r="R9" s="36">
        <v>6479</v>
      </c>
      <c r="S9" s="37">
        <v>6398</v>
      </c>
      <c r="T9" s="37">
        <v>2634</v>
      </c>
      <c r="U9" s="37"/>
      <c r="V9" s="83">
        <v>3112</v>
      </c>
      <c r="W9" s="84">
        <v>6923</v>
      </c>
      <c r="X9" s="85">
        <v>1813</v>
      </c>
      <c r="Y9" s="154">
        <f t="shared" si="2"/>
        <v>0.26188068756319516</v>
      </c>
      <c r="Z9" s="38">
        <v>39</v>
      </c>
      <c r="AA9" s="38">
        <v>39</v>
      </c>
      <c r="AB9" s="155">
        <f t="shared" si="3"/>
        <v>1</v>
      </c>
      <c r="AC9" s="84">
        <v>1424</v>
      </c>
      <c r="AD9" s="85">
        <v>216</v>
      </c>
      <c r="AE9" s="156">
        <f>AD9/AC9</f>
        <v>0.15168539325842698</v>
      </c>
    </row>
    <row r="10" spans="1:31" ht="10.050000000000001" customHeight="1" x14ac:dyDescent="0.2">
      <c r="A10" s="162"/>
      <c r="B10" s="39">
        <f>SUM(B5:B9)</f>
        <v>70070</v>
      </c>
      <c r="C10" s="39">
        <f t="shared" ref="C10:N10" si="4">SUM(C5:C9)</f>
        <v>38881</v>
      </c>
      <c r="D10" s="39">
        <f t="shared" si="4"/>
        <v>7696</v>
      </c>
      <c r="E10" s="39">
        <f t="shared" si="4"/>
        <v>128135</v>
      </c>
      <c r="F10" s="39">
        <f t="shared" si="4"/>
        <v>399369</v>
      </c>
      <c r="G10" s="39">
        <f t="shared" si="4"/>
        <v>431487</v>
      </c>
      <c r="H10" s="39">
        <f t="shared" si="4"/>
        <v>154651</v>
      </c>
      <c r="I10" s="158">
        <f t="shared" si="0"/>
        <v>0.35841404260151521</v>
      </c>
      <c r="J10" s="39">
        <f t="shared" si="4"/>
        <v>33426</v>
      </c>
      <c r="K10" s="39">
        <f t="shared" si="4"/>
        <v>32656</v>
      </c>
      <c r="L10" s="158">
        <f t="shared" si="1"/>
        <v>0.97696403996888648</v>
      </c>
      <c r="M10" s="39">
        <f t="shared" si="4"/>
        <v>60234</v>
      </c>
      <c r="N10" s="39">
        <f t="shared" si="4"/>
        <v>14400</v>
      </c>
      <c r="O10" s="158">
        <f>N10/M10</f>
        <v>0.23906763621874688</v>
      </c>
      <c r="P10" s="213"/>
      <c r="Q10" s="162"/>
      <c r="R10" s="39">
        <f>SUM(R5:R9)</f>
        <v>70070</v>
      </c>
      <c r="S10" s="39">
        <f t="shared" ref="S10:AD10" si="5">SUM(S5:S9)</f>
        <v>37998</v>
      </c>
      <c r="T10" s="39">
        <f t="shared" si="5"/>
        <v>7696</v>
      </c>
      <c r="U10" s="39">
        <f t="shared" si="5"/>
        <v>0</v>
      </c>
      <c r="V10" s="39">
        <f t="shared" si="5"/>
        <v>30115</v>
      </c>
      <c r="W10" s="39">
        <f t="shared" si="5"/>
        <v>20785</v>
      </c>
      <c r="X10" s="39">
        <f t="shared" si="5"/>
        <v>6645</v>
      </c>
      <c r="Y10" s="158">
        <f t="shared" si="2"/>
        <v>0.31970170796247294</v>
      </c>
      <c r="Z10" s="39">
        <f>SUM(Z5:Z9)</f>
        <v>4706</v>
      </c>
      <c r="AA10" s="39">
        <f>SUM(AA5:AA9)</f>
        <v>4687</v>
      </c>
      <c r="AB10" s="158">
        <f t="shared" si="3"/>
        <v>0.99596260093497657</v>
      </c>
      <c r="AC10" s="39">
        <f t="shared" si="5"/>
        <v>4411</v>
      </c>
      <c r="AD10" s="39">
        <f t="shared" si="5"/>
        <v>922</v>
      </c>
      <c r="AE10" s="158">
        <f>AD10/AC10</f>
        <v>0.20902289730219906</v>
      </c>
    </row>
    <row r="11" spans="1:31" ht="10.050000000000001" customHeight="1" thickBot="1" x14ac:dyDescent="0.25">
      <c r="A11" s="210"/>
      <c r="B11" s="40"/>
      <c r="C11" s="40"/>
      <c r="D11" s="40"/>
      <c r="E11" s="162"/>
      <c r="F11" s="31"/>
      <c r="G11" s="162"/>
      <c r="H11" s="162"/>
      <c r="I11" s="162"/>
      <c r="J11" s="162"/>
      <c r="K11" s="162"/>
      <c r="L11" s="162"/>
      <c r="M11" s="162"/>
      <c r="N11" s="162"/>
      <c r="O11" s="162"/>
      <c r="P11" s="214"/>
      <c r="Q11" s="210"/>
      <c r="R11" s="40"/>
      <c r="S11" s="40"/>
      <c r="T11" s="40"/>
      <c r="U11" s="162"/>
      <c r="V11" s="31"/>
      <c r="W11" s="162"/>
      <c r="X11" s="162"/>
      <c r="Y11" s="162"/>
      <c r="Z11" s="162"/>
      <c r="AA11" s="162"/>
      <c r="AB11" s="162"/>
      <c r="AC11" s="162"/>
      <c r="AD11" s="162"/>
      <c r="AE11" s="162"/>
    </row>
    <row r="12" spans="1:31" ht="10.050000000000001" customHeight="1" thickBot="1" x14ac:dyDescent="0.25">
      <c r="A12" s="144"/>
      <c r="B12" s="41"/>
      <c r="C12" s="42"/>
      <c r="D12" s="42"/>
      <c r="E12" s="221" t="s">
        <v>1</v>
      </c>
      <c r="F12" s="144" t="s">
        <v>67</v>
      </c>
      <c r="G12" s="227" t="s">
        <v>2</v>
      </c>
      <c r="H12" s="228"/>
      <c r="I12" s="229"/>
      <c r="J12" s="230" t="s">
        <v>3</v>
      </c>
      <c r="K12" s="231"/>
      <c r="L12" s="232"/>
      <c r="M12" s="227" t="s">
        <v>4</v>
      </c>
      <c r="N12" s="228"/>
      <c r="O12" s="229"/>
      <c r="P12" s="211"/>
      <c r="Q12" s="144"/>
      <c r="R12" s="41"/>
      <c r="S12" s="42"/>
      <c r="T12" s="42"/>
      <c r="U12" s="223" t="s">
        <v>1</v>
      </c>
      <c r="V12" s="144" t="s">
        <v>67</v>
      </c>
      <c r="W12" s="227" t="s">
        <v>2</v>
      </c>
      <c r="X12" s="228"/>
      <c r="Y12" s="229"/>
      <c r="Z12" s="230" t="s">
        <v>3</v>
      </c>
      <c r="AA12" s="231"/>
      <c r="AB12" s="232"/>
      <c r="AC12" s="227" t="s">
        <v>4</v>
      </c>
      <c r="AD12" s="228"/>
      <c r="AE12" s="229"/>
    </row>
    <row r="13" spans="1:31" ht="10.050000000000001" customHeight="1" x14ac:dyDescent="0.2">
      <c r="A13" s="148"/>
      <c r="B13" s="145" t="s">
        <v>5</v>
      </c>
      <c r="C13" s="42" t="s">
        <v>6</v>
      </c>
      <c r="D13" s="56" t="s">
        <v>66</v>
      </c>
      <c r="E13" s="148" t="s">
        <v>7</v>
      </c>
      <c r="F13" s="148" t="s">
        <v>7</v>
      </c>
      <c r="G13" s="163" t="s">
        <v>7</v>
      </c>
      <c r="H13" s="164" t="s">
        <v>8</v>
      </c>
      <c r="I13" s="165" t="s">
        <v>9</v>
      </c>
      <c r="J13" s="148" t="s">
        <v>7</v>
      </c>
      <c r="K13" s="166" t="s">
        <v>8</v>
      </c>
      <c r="L13" s="167" t="s">
        <v>9</v>
      </c>
      <c r="M13" s="163" t="s">
        <v>7</v>
      </c>
      <c r="N13" s="164" t="s">
        <v>8</v>
      </c>
      <c r="O13" s="165" t="s">
        <v>9</v>
      </c>
      <c r="P13" s="212"/>
      <c r="Q13" s="148"/>
      <c r="R13" s="145" t="s">
        <v>5</v>
      </c>
      <c r="S13" s="42" t="s">
        <v>6</v>
      </c>
      <c r="T13" s="56" t="s">
        <v>66</v>
      </c>
      <c r="U13" s="148" t="s">
        <v>7</v>
      </c>
      <c r="V13" s="148" t="s">
        <v>7</v>
      </c>
      <c r="W13" s="163" t="s">
        <v>7</v>
      </c>
      <c r="X13" s="164" t="s">
        <v>8</v>
      </c>
      <c r="Y13" s="165" t="s">
        <v>9</v>
      </c>
      <c r="Z13" s="148" t="s">
        <v>7</v>
      </c>
      <c r="AA13" s="166" t="s">
        <v>8</v>
      </c>
      <c r="AB13" s="167" t="s">
        <v>9</v>
      </c>
      <c r="AC13" s="163" t="s">
        <v>7</v>
      </c>
      <c r="AD13" s="164" t="s">
        <v>8</v>
      </c>
      <c r="AE13" s="165" t="s">
        <v>9</v>
      </c>
    </row>
    <row r="14" spans="1:31" ht="10.050000000000001" customHeight="1" x14ac:dyDescent="0.2">
      <c r="A14" s="148" t="s">
        <v>10</v>
      </c>
      <c r="B14" s="32">
        <v>40105</v>
      </c>
      <c r="C14" s="43">
        <v>14506</v>
      </c>
      <c r="D14" s="43">
        <v>819</v>
      </c>
      <c r="E14" s="34">
        <v>22760</v>
      </c>
      <c r="F14" s="35">
        <v>31555</v>
      </c>
      <c r="G14" s="81">
        <v>25830</v>
      </c>
      <c r="H14" s="82">
        <v>20613</v>
      </c>
      <c r="I14" s="154">
        <f t="shared" ref="I14:I19" si="6">H14/G14</f>
        <v>0.79802555168408829</v>
      </c>
      <c r="J14" s="34">
        <v>1112</v>
      </c>
      <c r="K14" s="34">
        <v>1111</v>
      </c>
      <c r="L14" s="155">
        <f t="shared" ref="L14:L19" si="7">K14/J14</f>
        <v>0.99910071942446044</v>
      </c>
      <c r="M14" s="81"/>
      <c r="N14" s="82"/>
      <c r="O14" s="154"/>
      <c r="P14" s="213"/>
      <c r="Q14" s="148" t="s">
        <v>10</v>
      </c>
      <c r="R14" s="32">
        <v>40105</v>
      </c>
      <c r="S14" s="43">
        <v>14097</v>
      </c>
      <c r="T14" s="43">
        <v>819</v>
      </c>
      <c r="U14" s="34"/>
      <c r="V14" s="35">
        <v>9838</v>
      </c>
      <c r="W14" s="81"/>
      <c r="X14" s="82"/>
      <c r="Y14" s="154"/>
      <c r="Z14" s="34">
        <v>835</v>
      </c>
      <c r="AA14" s="34">
        <v>835</v>
      </c>
      <c r="AB14" s="155">
        <f>AA14/Z14</f>
        <v>1</v>
      </c>
      <c r="AC14" s="81"/>
      <c r="AD14" s="82"/>
      <c r="AE14" s="154"/>
    </row>
    <row r="15" spans="1:31" ht="10.050000000000001" customHeight="1" x14ac:dyDescent="0.2">
      <c r="A15" s="148" t="s">
        <v>11</v>
      </c>
      <c r="B15" s="32">
        <v>9320</v>
      </c>
      <c r="C15" s="43">
        <v>6068</v>
      </c>
      <c r="D15" s="43">
        <v>964</v>
      </c>
      <c r="E15" s="34">
        <v>8902</v>
      </c>
      <c r="F15" s="35">
        <v>8107</v>
      </c>
      <c r="G15" s="81">
        <v>8627</v>
      </c>
      <c r="H15" s="82">
        <v>7546</v>
      </c>
      <c r="I15" s="154">
        <f t="shared" si="6"/>
        <v>0.87469572273096097</v>
      </c>
      <c r="J15" s="34">
        <v>267</v>
      </c>
      <c r="K15" s="34">
        <v>267</v>
      </c>
      <c r="L15" s="155">
        <f t="shared" si="7"/>
        <v>1</v>
      </c>
      <c r="M15" s="81">
        <v>3861</v>
      </c>
      <c r="N15" s="82">
        <v>1500</v>
      </c>
      <c r="O15" s="154">
        <f>N15/M15</f>
        <v>0.38850038850038848</v>
      </c>
      <c r="P15" s="213"/>
      <c r="Q15" s="148" t="s">
        <v>11</v>
      </c>
      <c r="R15" s="32">
        <v>9320</v>
      </c>
      <c r="S15" s="43">
        <v>5845</v>
      </c>
      <c r="T15" s="43">
        <v>964</v>
      </c>
      <c r="U15" s="34"/>
      <c r="V15" s="35">
        <v>6940</v>
      </c>
      <c r="W15" s="81">
        <v>992</v>
      </c>
      <c r="X15" s="82">
        <v>644</v>
      </c>
      <c r="Y15" s="154">
        <f t="shared" ref="Y15:Y19" si="8">X15/W15</f>
        <v>0.64919354838709675</v>
      </c>
      <c r="Z15" s="34">
        <v>997</v>
      </c>
      <c r="AA15" s="34">
        <v>995</v>
      </c>
      <c r="AB15" s="155">
        <f t="shared" ref="AB15:AB19" si="9">AA15/Z15</f>
        <v>0.99799398194583755</v>
      </c>
      <c r="AC15" s="81">
        <v>268</v>
      </c>
      <c r="AD15" s="82">
        <v>83</v>
      </c>
      <c r="AE15" s="154">
        <f>AD15/AC15</f>
        <v>0.30970149253731344</v>
      </c>
    </row>
    <row r="16" spans="1:31" ht="10.050000000000001" customHeight="1" x14ac:dyDescent="0.2">
      <c r="A16" s="148" t="s">
        <v>12</v>
      </c>
      <c r="B16" s="32">
        <v>3710</v>
      </c>
      <c r="C16" s="43">
        <v>2106</v>
      </c>
      <c r="D16" s="43">
        <v>479</v>
      </c>
      <c r="E16" s="34">
        <v>3554</v>
      </c>
      <c r="F16" s="35">
        <v>3224</v>
      </c>
      <c r="G16" s="81">
        <v>3501</v>
      </c>
      <c r="H16" s="82">
        <v>2904</v>
      </c>
      <c r="I16" s="154">
        <f t="shared" si="6"/>
        <v>0.82947729220222799</v>
      </c>
      <c r="J16" s="34">
        <v>3013</v>
      </c>
      <c r="K16" s="34">
        <v>3007</v>
      </c>
      <c r="L16" s="155">
        <f t="shared" si="7"/>
        <v>0.99800862927314971</v>
      </c>
      <c r="M16" s="81">
        <v>2778</v>
      </c>
      <c r="N16" s="82">
        <v>1857</v>
      </c>
      <c r="O16" s="154">
        <f>N16/M16</f>
        <v>0.66846652267818574</v>
      </c>
      <c r="P16" s="213"/>
      <c r="Q16" s="148" t="s">
        <v>12</v>
      </c>
      <c r="R16" s="32">
        <v>3710</v>
      </c>
      <c r="S16" s="43">
        <v>1982</v>
      </c>
      <c r="T16" s="43">
        <v>479</v>
      </c>
      <c r="U16" s="34"/>
      <c r="V16" s="35">
        <v>2559</v>
      </c>
      <c r="W16" s="81">
        <v>1226</v>
      </c>
      <c r="X16" s="82">
        <v>728</v>
      </c>
      <c r="Y16" s="154">
        <f t="shared" si="8"/>
        <v>0.59380097879282223</v>
      </c>
      <c r="Z16" s="34">
        <v>506</v>
      </c>
      <c r="AA16" s="34">
        <v>505</v>
      </c>
      <c r="AB16" s="155">
        <f t="shared" si="9"/>
        <v>0.99802371541501977</v>
      </c>
      <c r="AC16" s="81">
        <v>664</v>
      </c>
      <c r="AD16" s="82">
        <v>210</v>
      </c>
      <c r="AE16" s="154">
        <f>AD16/AC16</f>
        <v>0.31626506024096385</v>
      </c>
    </row>
    <row r="17" spans="1:32" ht="10.050000000000001" customHeight="1" x14ac:dyDescent="0.2">
      <c r="A17" s="148" t="s">
        <v>13</v>
      </c>
      <c r="B17" s="32">
        <v>10456</v>
      </c>
      <c r="C17" s="43">
        <v>9786</v>
      </c>
      <c r="D17" s="43">
        <v>2800</v>
      </c>
      <c r="E17" s="34">
        <v>10366</v>
      </c>
      <c r="F17" s="35">
        <v>8125</v>
      </c>
      <c r="G17" s="81">
        <v>10350</v>
      </c>
      <c r="H17" s="82">
        <v>7373</v>
      </c>
      <c r="I17" s="154">
        <f t="shared" si="6"/>
        <v>0.71236714975845405</v>
      </c>
      <c r="J17" s="34">
        <v>10203</v>
      </c>
      <c r="K17" s="34">
        <v>10110</v>
      </c>
      <c r="L17" s="155">
        <f t="shared" si="7"/>
        <v>0.99088503381358428</v>
      </c>
      <c r="M17" s="81">
        <v>6574</v>
      </c>
      <c r="N17" s="82">
        <v>3465</v>
      </c>
      <c r="O17" s="154">
        <f>N17/M17</f>
        <v>0.52707636142379066</v>
      </c>
      <c r="P17" s="213"/>
      <c r="Q17" s="148" t="s">
        <v>13</v>
      </c>
      <c r="R17" s="32">
        <v>10456</v>
      </c>
      <c r="S17" s="43">
        <v>9676</v>
      </c>
      <c r="T17" s="43">
        <v>2800</v>
      </c>
      <c r="U17" s="34"/>
      <c r="V17" s="35">
        <v>7666</v>
      </c>
      <c r="W17" s="81">
        <v>7659</v>
      </c>
      <c r="X17" s="82">
        <v>3460</v>
      </c>
      <c r="Y17" s="154">
        <f t="shared" si="8"/>
        <v>0.45175610393001697</v>
      </c>
      <c r="Z17" s="34">
        <v>2329</v>
      </c>
      <c r="AA17" s="34">
        <v>2313</v>
      </c>
      <c r="AB17" s="155">
        <f t="shared" si="9"/>
        <v>0.99313009875483038</v>
      </c>
      <c r="AC17" s="81">
        <v>1783</v>
      </c>
      <c r="AD17" s="82">
        <v>379</v>
      </c>
      <c r="AE17" s="154">
        <f>AD17/AC17</f>
        <v>0.21256309590577679</v>
      </c>
    </row>
    <row r="18" spans="1:32" ht="10.050000000000001" customHeight="1" thickBot="1" x14ac:dyDescent="0.25">
      <c r="A18" s="209" t="s">
        <v>0</v>
      </c>
      <c r="B18" s="36">
        <v>6479</v>
      </c>
      <c r="C18" s="44">
        <v>6415</v>
      </c>
      <c r="D18" s="44">
        <v>2634</v>
      </c>
      <c r="E18" s="38">
        <v>6467</v>
      </c>
      <c r="F18" s="83">
        <v>3162</v>
      </c>
      <c r="G18" s="84">
        <v>6466</v>
      </c>
      <c r="H18" s="85">
        <v>3750</v>
      </c>
      <c r="I18" s="154">
        <f t="shared" si="6"/>
        <v>0.57995669656665638</v>
      </c>
      <c r="J18" s="38">
        <v>6441</v>
      </c>
      <c r="K18" s="38">
        <v>6186</v>
      </c>
      <c r="L18" s="155">
        <f t="shared" si="7"/>
        <v>0.96040987424312996</v>
      </c>
      <c r="M18" s="84">
        <v>3510</v>
      </c>
      <c r="N18" s="85">
        <v>1683</v>
      </c>
      <c r="O18" s="156">
        <f>N18/M18</f>
        <v>0.4794871794871795</v>
      </c>
      <c r="P18" s="213"/>
      <c r="Q18" s="209" t="s">
        <v>0</v>
      </c>
      <c r="R18" s="36">
        <v>6479</v>
      </c>
      <c r="S18" s="44">
        <v>6398</v>
      </c>
      <c r="T18" s="44">
        <v>2634</v>
      </c>
      <c r="U18" s="38"/>
      <c r="V18" s="83">
        <v>3112</v>
      </c>
      <c r="W18" s="84">
        <v>4932</v>
      </c>
      <c r="X18" s="85">
        <v>1813</v>
      </c>
      <c r="Y18" s="154">
        <f t="shared" si="8"/>
        <v>0.36759935117599352</v>
      </c>
      <c r="Z18" s="38">
        <v>39</v>
      </c>
      <c r="AA18" s="38">
        <v>39</v>
      </c>
      <c r="AB18" s="155">
        <f t="shared" si="9"/>
        <v>1</v>
      </c>
      <c r="AC18" s="84">
        <v>1250</v>
      </c>
      <c r="AD18" s="85">
        <v>205</v>
      </c>
      <c r="AE18" s="156">
        <f>AD18/AC18</f>
        <v>0.16400000000000001</v>
      </c>
    </row>
    <row r="19" spans="1:32" ht="10.050000000000001" customHeight="1" x14ac:dyDescent="0.2">
      <c r="A19" s="162"/>
      <c r="B19" s="39">
        <f t="shared" ref="B19:H19" si="10">SUM(B14:B18)</f>
        <v>70070</v>
      </c>
      <c r="C19" s="39">
        <f t="shared" si="10"/>
        <v>38881</v>
      </c>
      <c r="D19" s="39">
        <f t="shared" si="10"/>
        <v>7696</v>
      </c>
      <c r="E19" s="39">
        <f t="shared" si="10"/>
        <v>52049</v>
      </c>
      <c r="F19" s="39">
        <f t="shared" si="10"/>
        <v>54173</v>
      </c>
      <c r="G19" s="39">
        <f t="shared" si="10"/>
        <v>54774</v>
      </c>
      <c r="H19" s="39">
        <f t="shared" si="10"/>
        <v>42186</v>
      </c>
      <c r="I19" s="158">
        <f t="shared" si="6"/>
        <v>0.77018293350859901</v>
      </c>
      <c r="J19" s="39">
        <f>SUM(J14:J18)</f>
        <v>21036</v>
      </c>
      <c r="K19" s="39">
        <f>SUM(K14:K18)</f>
        <v>20681</v>
      </c>
      <c r="L19" s="158">
        <f t="shared" si="7"/>
        <v>0.98312416809279335</v>
      </c>
      <c r="M19" s="39">
        <f>SUM(M14:M18)</f>
        <v>16723</v>
      </c>
      <c r="N19" s="39">
        <f>SUM(N14:N18)</f>
        <v>8505</v>
      </c>
      <c r="O19" s="158">
        <f>N19/M19</f>
        <v>0.50858099623273334</v>
      </c>
      <c r="P19" s="213"/>
      <c r="Q19" s="162"/>
      <c r="R19" s="39">
        <f>SUM(R14:R18)</f>
        <v>70070</v>
      </c>
      <c r="S19" s="39">
        <f t="shared" ref="S19:X19" si="11">SUM(S14:S18)</f>
        <v>37998</v>
      </c>
      <c r="T19" s="39">
        <f t="shared" si="11"/>
        <v>7696</v>
      </c>
      <c r="U19" s="39">
        <f t="shared" si="11"/>
        <v>0</v>
      </c>
      <c r="V19" s="39">
        <f t="shared" si="11"/>
        <v>30115</v>
      </c>
      <c r="W19" s="39">
        <f t="shared" si="11"/>
        <v>14809</v>
      </c>
      <c r="X19" s="39">
        <f t="shared" si="11"/>
        <v>6645</v>
      </c>
      <c r="Y19" s="158">
        <f t="shared" si="8"/>
        <v>0.44871362009588761</v>
      </c>
      <c r="Z19" s="39">
        <f>SUM(Z14:Z18)</f>
        <v>4706</v>
      </c>
      <c r="AA19" s="39">
        <f>SUM(AA14:AA18)</f>
        <v>4687</v>
      </c>
      <c r="AB19" s="158">
        <f t="shared" si="9"/>
        <v>0.99596260093497657</v>
      </c>
      <c r="AC19" s="39">
        <f t="shared" ref="AC19:AD19" si="12">SUM(AC14:AC18)</f>
        <v>3965</v>
      </c>
      <c r="AD19" s="39">
        <f t="shared" si="12"/>
        <v>877</v>
      </c>
      <c r="AE19" s="158">
        <f>AD19/AC19</f>
        <v>0.22118537200504412</v>
      </c>
    </row>
    <row r="20" spans="1:32" ht="10.050000000000001" customHeight="1" x14ac:dyDescent="0.2">
      <c r="A20" s="162"/>
      <c r="B20" s="39"/>
      <c r="C20" s="39"/>
      <c r="D20" s="39"/>
      <c r="E20" s="39"/>
      <c r="F20" s="39"/>
      <c r="G20" s="39"/>
      <c r="H20" s="39"/>
      <c r="I20" s="158"/>
      <c r="J20" s="39"/>
      <c r="K20" s="39"/>
      <c r="L20" s="158"/>
      <c r="M20" s="39"/>
      <c r="N20" s="39"/>
      <c r="O20" s="158"/>
      <c r="P20" s="213"/>
    </row>
    <row r="21" spans="1:32" ht="10.050000000000001" customHeight="1" thickBot="1" x14ac:dyDescent="0.25">
      <c r="A21" s="162"/>
      <c r="B21" s="39"/>
      <c r="C21" s="39"/>
      <c r="D21" s="39"/>
      <c r="E21" s="39"/>
      <c r="F21" s="39"/>
      <c r="G21" s="39"/>
      <c r="H21" s="39"/>
      <c r="I21" s="158"/>
      <c r="J21" s="39"/>
      <c r="K21" s="39"/>
      <c r="L21" s="158"/>
      <c r="M21" s="39"/>
      <c r="N21" s="39"/>
      <c r="O21" s="158"/>
      <c r="P21" s="213"/>
      <c r="Y21" s="177">
        <v>45950</v>
      </c>
    </row>
    <row r="22" spans="1:32" s="96" customFormat="1" ht="10.050000000000001" customHeight="1" thickBot="1" x14ac:dyDescent="0.25">
      <c r="A22" s="178"/>
      <c r="B22" s="178"/>
      <c r="C22" s="178"/>
      <c r="D22" s="178"/>
      <c r="E22" s="178"/>
      <c r="F22" s="178"/>
      <c r="G22" s="178"/>
      <c r="H22" s="179"/>
      <c r="I22" s="178"/>
      <c r="J22" s="178"/>
      <c r="K22" s="179"/>
      <c r="L22" s="178"/>
      <c r="M22" s="178"/>
      <c r="N22" s="179"/>
      <c r="Q22" s="208"/>
      <c r="R22" s="142"/>
      <c r="S22" s="143"/>
      <c r="T22" s="143"/>
      <c r="U22" s="220" t="s">
        <v>1</v>
      </c>
      <c r="V22" s="144" t="s">
        <v>67</v>
      </c>
      <c r="W22" s="224" t="s">
        <v>2</v>
      </c>
      <c r="X22" s="225"/>
      <c r="Y22" s="226"/>
      <c r="Z22" s="233" t="s">
        <v>3</v>
      </c>
      <c r="AA22" s="234"/>
      <c r="AB22" s="235"/>
      <c r="AC22" s="224" t="s">
        <v>4</v>
      </c>
      <c r="AD22" s="225"/>
      <c r="AE22" s="226"/>
      <c r="AF22" s="141"/>
    </row>
    <row r="23" spans="1:32" ht="10.050000000000001" customHeight="1" x14ac:dyDescent="0.2">
      <c r="Q23" s="147"/>
      <c r="R23" s="145" t="s">
        <v>5</v>
      </c>
      <c r="S23" s="146" t="s">
        <v>6</v>
      </c>
      <c r="T23" s="146" t="s">
        <v>66</v>
      </c>
      <c r="U23" s="147" t="s">
        <v>7</v>
      </c>
      <c r="V23" s="148" t="s">
        <v>7</v>
      </c>
      <c r="W23" s="149" t="s">
        <v>7</v>
      </c>
      <c r="X23" s="150" t="s">
        <v>8</v>
      </c>
      <c r="Y23" s="151" t="s">
        <v>9</v>
      </c>
      <c r="Z23" s="147" t="s">
        <v>7</v>
      </c>
      <c r="AA23" s="152" t="s">
        <v>8</v>
      </c>
      <c r="AB23" s="153" t="s">
        <v>9</v>
      </c>
      <c r="AC23" s="149" t="s">
        <v>7</v>
      </c>
      <c r="AD23" s="150" t="s">
        <v>8</v>
      </c>
      <c r="AE23" s="151" t="s">
        <v>9</v>
      </c>
    </row>
    <row r="24" spans="1:32" ht="10.050000000000001" customHeight="1" x14ac:dyDescent="0.2">
      <c r="Q24" s="148" t="s">
        <v>10</v>
      </c>
      <c r="R24" s="32">
        <v>40105</v>
      </c>
      <c r="S24" s="33">
        <v>14256</v>
      </c>
      <c r="T24" s="33">
        <v>819</v>
      </c>
      <c r="U24" s="33"/>
      <c r="V24" s="35">
        <v>9982</v>
      </c>
      <c r="W24" s="81">
        <v>9775</v>
      </c>
      <c r="X24" s="82">
        <v>4609</v>
      </c>
      <c r="Y24" s="154">
        <f t="shared" ref="Y24:Y29" si="13">X24/W24</f>
        <v>0.47150895140664961</v>
      </c>
      <c r="Z24" s="34"/>
      <c r="AA24" s="34"/>
      <c r="AB24" s="155"/>
      <c r="AC24" s="81"/>
      <c r="AD24" s="82"/>
      <c r="AE24" s="154"/>
    </row>
    <row r="25" spans="1:32" ht="10.050000000000001" customHeight="1" x14ac:dyDescent="0.2">
      <c r="Q25" s="148" t="s">
        <v>11</v>
      </c>
      <c r="R25" s="32">
        <v>9320</v>
      </c>
      <c r="S25" s="33">
        <v>5924</v>
      </c>
      <c r="T25" s="33">
        <v>964</v>
      </c>
      <c r="U25" s="33"/>
      <c r="V25" s="35">
        <v>6991</v>
      </c>
      <c r="W25" s="81">
        <v>8990</v>
      </c>
      <c r="X25" s="82">
        <v>3839</v>
      </c>
      <c r="Y25" s="154">
        <f t="shared" si="13"/>
        <v>0.42703003337041157</v>
      </c>
      <c r="Z25" s="34"/>
      <c r="AA25" s="34"/>
      <c r="AB25" s="155"/>
      <c r="AC25" s="81">
        <v>235</v>
      </c>
      <c r="AD25" s="82">
        <v>104</v>
      </c>
      <c r="AE25" s="154">
        <f>AD25/AC25</f>
        <v>0.44255319148936167</v>
      </c>
    </row>
    <row r="26" spans="1:32" ht="10.050000000000001" customHeight="1" x14ac:dyDescent="0.2">
      <c r="Q26" s="148" t="s">
        <v>12</v>
      </c>
      <c r="R26" s="32">
        <v>3710</v>
      </c>
      <c r="S26" s="33">
        <v>2032</v>
      </c>
      <c r="T26" s="33">
        <v>479</v>
      </c>
      <c r="U26" s="33"/>
      <c r="V26" s="35">
        <v>2587</v>
      </c>
      <c r="W26" s="81">
        <v>2403</v>
      </c>
      <c r="X26" s="82">
        <v>853</v>
      </c>
      <c r="Y26" s="154">
        <f t="shared" si="13"/>
        <v>0.35497295047856847</v>
      </c>
      <c r="Z26" s="34"/>
      <c r="AA26" s="34"/>
      <c r="AB26" s="155"/>
      <c r="AC26" s="81">
        <v>875</v>
      </c>
      <c r="AD26" s="82">
        <v>201</v>
      </c>
      <c r="AE26" s="154">
        <f>AD26/AC26</f>
        <v>0.2297142857142857</v>
      </c>
    </row>
    <row r="27" spans="1:32" ht="10.050000000000001" customHeight="1" x14ac:dyDescent="0.2">
      <c r="Q27" s="148" t="s">
        <v>13</v>
      </c>
      <c r="R27" s="32">
        <v>10456</v>
      </c>
      <c r="S27" s="33">
        <v>9706</v>
      </c>
      <c r="T27" s="33">
        <v>2800</v>
      </c>
      <c r="U27" s="33"/>
      <c r="V27" s="35">
        <v>7690</v>
      </c>
      <c r="W27" s="81">
        <v>3511</v>
      </c>
      <c r="X27" s="82">
        <v>1004</v>
      </c>
      <c r="Y27" s="154">
        <f t="shared" si="13"/>
        <v>0.28595841640558245</v>
      </c>
      <c r="Z27" s="34"/>
      <c r="AA27" s="34"/>
      <c r="AB27" s="155"/>
      <c r="AC27" s="81">
        <v>2409</v>
      </c>
      <c r="AD27" s="82">
        <v>521</v>
      </c>
      <c r="AE27" s="154">
        <f>AD27/AC27</f>
        <v>0.21627231216272313</v>
      </c>
    </row>
    <row r="28" spans="1:32" ht="10.050000000000001" customHeight="1" thickBot="1" x14ac:dyDescent="0.25">
      <c r="Q28" s="209" t="s">
        <v>0</v>
      </c>
      <c r="R28" s="36">
        <v>6479</v>
      </c>
      <c r="S28" s="37">
        <v>6398</v>
      </c>
      <c r="T28" s="37">
        <v>2634</v>
      </c>
      <c r="U28" s="37"/>
      <c r="V28" s="83">
        <v>3115</v>
      </c>
      <c r="W28" s="84">
        <v>2452</v>
      </c>
      <c r="X28" s="85">
        <v>486</v>
      </c>
      <c r="Y28" s="154">
        <f t="shared" si="13"/>
        <v>0.19820554649265906</v>
      </c>
      <c r="Z28" s="38"/>
      <c r="AA28" s="38"/>
      <c r="AB28" s="155"/>
      <c r="AC28" s="84">
        <v>1573</v>
      </c>
      <c r="AD28" s="85">
        <v>221</v>
      </c>
      <c r="AE28" s="156">
        <f>AD28/AC28</f>
        <v>0.14049586776859505</v>
      </c>
    </row>
    <row r="29" spans="1:32" ht="10.050000000000001" customHeight="1" x14ac:dyDescent="0.2">
      <c r="Q29" s="162"/>
      <c r="R29" s="39">
        <f>SUM(R24:R28)</f>
        <v>70070</v>
      </c>
      <c r="S29" s="39">
        <f t="shared" ref="S29:AD29" si="14">SUM(S24:S28)</f>
        <v>38316</v>
      </c>
      <c r="T29" s="39">
        <f t="shared" si="14"/>
        <v>7696</v>
      </c>
      <c r="U29" s="39">
        <f t="shared" si="14"/>
        <v>0</v>
      </c>
      <c r="V29" s="39">
        <f t="shared" si="14"/>
        <v>30365</v>
      </c>
      <c r="W29" s="39">
        <f t="shared" si="14"/>
        <v>27131</v>
      </c>
      <c r="X29" s="39">
        <f t="shared" si="14"/>
        <v>10791</v>
      </c>
      <c r="Y29" s="158">
        <f t="shared" si="13"/>
        <v>0.39773690612214807</v>
      </c>
      <c r="Z29" s="39"/>
      <c r="AA29" s="39"/>
      <c r="AB29" s="158"/>
      <c r="AC29" s="39">
        <f t="shared" si="14"/>
        <v>5092</v>
      </c>
      <c r="AD29" s="39">
        <f t="shared" si="14"/>
        <v>1047</v>
      </c>
      <c r="AE29" s="158">
        <f>AD29/AC29</f>
        <v>0.20561665357423409</v>
      </c>
    </row>
    <row r="30" spans="1:32" ht="10.050000000000001" customHeight="1" thickBot="1" x14ac:dyDescent="0.25">
      <c r="Q30" s="210"/>
      <c r="R30" s="40"/>
      <c r="S30" s="40"/>
      <c r="T30" s="40"/>
      <c r="U30" s="162"/>
      <c r="V30" s="31"/>
      <c r="W30" s="162"/>
      <c r="X30" s="162"/>
      <c r="Y30" s="162"/>
      <c r="Z30" s="162"/>
      <c r="AA30" s="162"/>
      <c r="AB30" s="162"/>
      <c r="AC30" s="162"/>
      <c r="AD30" s="162"/>
      <c r="AE30" s="162"/>
    </row>
    <row r="31" spans="1:32" ht="10.050000000000001" customHeight="1" thickBot="1" x14ac:dyDescent="0.25">
      <c r="Q31" s="144"/>
      <c r="R31" s="41"/>
      <c r="S31" s="42"/>
      <c r="T31" s="42"/>
      <c r="U31" s="221" t="s">
        <v>1</v>
      </c>
      <c r="V31" s="144" t="s">
        <v>67</v>
      </c>
      <c r="W31" s="227" t="s">
        <v>2</v>
      </c>
      <c r="X31" s="228"/>
      <c r="Y31" s="229"/>
      <c r="Z31" s="230" t="s">
        <v>3</v>
      </c>
      <c r="AA31" s="231"/>
      <c r="AB31" s="232"/>
      <c r="AC31" s="227" t="s">
        <v>4</v>
      </c>
      <c r="AD31" s="228"/>
      <c r="AE31" s="229"/>
    </row>
    <row r="32" spans="1:32" ht="10.050000000000001" customHeight="1" x14ac:dyDescent="0.2">
      <c r="Q32" s="148"/>
      <c r="R32" s="145" t="s">
        <v>5</v>
      </c>
      <c r="S32" s="42" t="s">
        <v>6</v>
      </c>
      <c r="T32" s="56" t="s">
        <v>66</v>
      </c>
      <c r="U32" s="148" t="s">
        <v>7</v>
      </c>
      <c r="V32" s="148" t="s">
        <v>7</v>
      </c>
      <c r="W32" s="163" t="s">
        <v>7</v>
      </c>
      <c r="X32" s="164" t="s">
        <v>8</v>
      </c>
      <c r="Y32" s="165" t="s">
        <v>9</v>
      </c>
      <c r="Z32" s="148" t="s">
        <v>7</v>
      </c>
      <c r="AA32" s="166" t="s">
        <v>8</v>
      </c>
      <c r="AB32" s="167" t="s">
        <v>9</v>
      </c>
      <c r="AC32" s="163" t="s">
        <v>7</v>
      </c>
      <c r="AD32" s="164" t="s">
        <v>8</v>
      </c>
      <c r="AE32" s="165" t="s">
        <v>9</v>
      </c>
    </row>
    <row r="33" spans="17:32" ht="10.050000000000001" customHeight="1" x14ac:dyDescent="0.2">
      <c r="Q33" s="148" t="s">
        <v>10</v>
      </c>
      <c r="R33" s="32">
        <v>40105</v>
      </c>
      <c r="S33" s="43">
        <v>14256</v>
      </c>
      <c r="T33" s="43">
        <v>819</v>
      </c>
      <c r="U33" s="34"/>
      <c r="V33" s="35">
        <v>9982</v>
      </c>
      <c r="W33" s="81">
        <v>7004</v>
      </c>
      <c r="X33" s="82">
        <v>4609</v>
      </c>
      <c r="Y33" s="154">
        <f t="shared" ref="Y33:Y38" si="15">X33/W33</f>
        <v>0.65805254140491143</v>
      </c>
      <c r="Z33" s="34"/>
      <c r="AA33" s="34"/>
      <c r="AB33" s="155"/>
      <c r="AC33" s="81"/>
      <c r="AD33" s="82"/>
      <c r="AE33" s="154"/>
    </row>
    <row r="34" spans="17:32" ht="10.050000000000001" customHeight="1" x14ac:dyDescent="0.2">
      <c r="Q34" s="148" t="s">
        <v>11</v>
      </c>
      <c r="R34" s="32">
        <v>9320</v>
      </c>
      <c r="S34" s="43">
        <v>5924</v>
      </c>
      <c r="T34" s="43">
        <v>964</v>
      </c>
      <c r="U34" s="34"/>
      <c r="V34" s="35">
        <v>6991</v>
      </c>
      <c r="W34" s="81">
        <v>6278</v>
      </c>
      <c r="X34" s="82">
        <v>3839</v>
      </c>
      <c r="Y34" s="154">
        <f t="shared" si="15"/>
        <v>0.61150047785919082</v>
      </c>
      <c r="Z34" s="34"/>
      <c r="AA34" s="34"/>
      <c r="AB34" s="155"/>
      <c r="AC34" s="81">
        <v>229</v>
      </c>
      <c r="AD34" s="82">
        <v>102</v>
      </c>
      <c r="AE34" s="154">
        <f>AD34/AC34</f>
        <v>0.44541484716157204</v>
      </c>
    </row>
    <row r="35" spans="17:32" ht="10.050000000000001" customHeight="1" x14ac:dyDescent="0.2">
      <c r="Q35" s="148" t="s">
        <v>12</v>
      </c>
      <c r="R35" s="32">
        <v>3710</v>
      </c>
      <c r="S35" s="43">
        <v>2032</v>
      </c>
      <c r="T35" s="43">
        <v>479</v>
      </c>
      <c r="U35" s="34"/>
      <c r="V35" s="35">
        <v>2587</v>
      </c>
      <c r="W35" s="81">
        <v>1575</v>
      </c>
      <c r="X35" s="82">
        <v>853</v>
      </c>
      <c r="Y35" s="154">
        <f t="shared" si="15"/>
        <v>0.54158730158730162</v>
      </c>
      <c r="Z35" s="34"/>
      <c r="AA35" s="34"/>
      <c r="AB35" s="155"/>
      <c r="AC35" s="81">
        <v>790</v>
      </c>
      <c r="AD35" s="82">
        <v>191</v>
      </c>
      <c r="AE35" s="154">
        <f>AD35/AC35</f>
        <v>0.24177215189873419</v>
      </c>
    </row>
    <row r="36" spans="17:32" ht="10.050000000000001" customHeight="1" x14ac:dyDescent="0.2">
      <c r="Q36" s="148" t="s">
        <v>13</v>
      </c>
      <c r="R36" s="32">
        <v>10456</v>
      </c>
      <c r="S36" s="43">
        <v>9706</v>
      </c>
      <c r="T36" s="43">
        <v>2800</v>
      </c>
      <c r="U36" s="34"/>
      <c r="V36" s="35">
        <v>7690</v>
      </c>
      <c r="W36" s="81">
        <v>2213</v>
      </c>
      <c r="X36" s="82">
        <v>1004</v>
      </c>
      <c r="Y36" s="154">
        <f t="shared" si="15"/>
        <v>0.45368278355173974</v>
      </c>
      <c r="Z36" s="34"/>
      <c r="AA36" s="34"/>
      <c r="AB36" s="155"/>
      <c r="AC36" s="81">
        <v>2169</v>
      </c>
      <c r="AD36" s="82">
        <v>488</v>
      </c>
      <c r="AE36" s="154">
        <f>AD36/AC36</f>
        <v>0.22498847395112956</v>
      </c>
    </row>
    <row r="37" spans="17:32" ht="10.050000000000001" customHeight="1" thickBot="1" x14ac:dyDescent="0.25">
      <c r="Q37" s="209" t="s">
        <v>0</v>
      </c>
      <c r="R37" s="36">
        <v>6479</v>
      </c>
      <c r="S37" s="44">
        <v>6398</v>
      </c>
      <c r="T37" s="44">
        <v>2634</v>
      </c>
      <c r="U37" s="38"/>
      <c r="V37" s="83">
        <v>3115</v>
      </c>
      <c r="W37" s="84">
        <v>1453</v>
      </c>
      <c r="X37" s="85">
        <v>486</v>
      </c>
      <c r="Y37" s="154">
        <f t="shared" si="15"/>
        <v>0.33448038540949759</v>
      </c>
      <c r="Z37" s="38"/>
      <c r="AA37" s="38"/>
      <c r="AB37" s="155"/>
      <c r="AC37" s="84">
        <v>1357</v>
      </c>
      <c r="AD37" s="85">
        <v>206</v>
      </c>
      <c r="AE37" s="156">
        <f>AD37/AC37</f>
        <v>0.1518054532056006</v>
      </c>
    </row>
    <row r="38" spans="17:32" ht="10.050000000000001" customHeight="1" x14ac:dyDescent="0.2">
      <c r="Q38" s="162"/>
      <c r="R38" s="39">
        <f>SUM(R33:R37)</f>
        <v>70070</v>
      </c>
      <c r="S38" s="39">
        <f t="shared" ref="S38:X38" si="16">SUM(S33:S37)</f>
        <v>38316</v>
      </c>
      <c r="T38" s="39">
        <f t="shared" si="16"/>
        <v>7696</v>
      </c>
      <c r="U38" s="39">
        <f t="shared" si="16"/>
        <v>0</v>
      </c>
      <c r="V38" s="39">
        <f t="shared" si="16"/>
        <v>30365</v>
      </c>
      <c r="W38" s="39">
        <f t="shared" si="16"/>
        <v>18523</v>
      </c>
      <c r="X38" s="39">
        <f t="shared" si="16"/>
        <v>10791</v>
      </c>
      <c r="Y38" s="158">
        <f t="shared" si="15"/>
        <v>0.58257301732980615</v>
      </c>
      <c r="Z38" s="39"/>
      <c r="AA38" s="39"/>
      <c r="AB38" s="158"/>
      <c r="AC38" s="39">
        <f t="shared" ref="AC38:AD38" si="17">SUM(AC33:AC37)</f>
        <v>4545</v>
      </c>
      <c r="AD38" s="39">
        <f t="shared" si="17"/>
        <v>987</v>
      </c>
      <c r="AE38" s="158">
        <f>AD38/AC38</f>
        <v>0.21716171617161717</v>
      </c>
    </row>
    <row r="39" spans="17:32" ht="10.050000000000001" customHeight="1" x14ac:dyDescent="0.2">
      <c r="Q39" s="162"/>
      <c r="R39" s="39"/>
      <c r="S39" s="39"/>
      <c r="T39" s="39"/>
      <c r="U39" s="39"/>
      <c r="V39" s="39"/>
      <c r="W39" s="39"/>
      <c r="X39" s="39"/>
      <c r="Y39" s="158"/>
      <c r="Z39" s="39"/>
      <c r="AA39" s="39"/>
      <c r="AB39" s="158"/>
      <c r="AC39" s="39"/>
      <c r="AD39" s="39"/>
      <c r="AE39" s="158"/>
    </row>
    <row r="40" spans="17:32" ht="10.050000000000001" customHeight="1" thickBot="1" x14ac:dyDescent="0.25">
      <c r="Y40" s="177">
        <v>45949</v>
      </c>
      <c r="AF40" s="96"/>
    </row>
    <row r="41" spans="17:32" ht="10.050000000000001" customHeight="1" thickBot="1" x14ac:dyDescent="0.25">
      <c r="Q41" s="208"/>
      <c r="R41" s="142"/>
      <c r="S41" s="143"/>
      <c r="T41" s="143"/>
      <c r="U41" s="220" t="s">
        <v>1</v>
      </c>
      <c r="V41" s="144" t="s">
        <v>67</v>
      </c>
      <c r="W41" s="224" t="s">
        <v>2</v>
      </c>
      <c r="X41" s="225"/>
      <c r="Y41" s="226"/>
      <c r="Z41" s="233" t="s">
        <v>3</v>
      </c>
      <c r="AA41" s="234"/>
      <c r="AB41" s="235"/>
      <c r="AC41" s="224" t="s">
        <v>4</v>
      </c>
      <c r="AD41" s="225"/>
      <c r="AE41" s="226"/>
    </row>
    <row r="42" spans="17:32" ht="10.050000000000001" customHeight="1" x14ac:dyDescent="0.2">
      <c r="Q42" s="147"/>
      <c r="R42" s="145" t="s">
        <v>5</v>
      </c>
      <c r="S42" s="146" t="s">
        <v>6</v>
      </c>
      <c r="T42" s="146" t="s">
        <v>66</v>
      </c>
      <c r="U42" s="147" t="s">
        <v>7</v>
      </c>
      <c r="V42" s="148" t="s">
        <v>7</v>
      </c>
      <c r="W42" s="149" t="s">
        <v>7</v>
      </c>
      <c r="X42" s="150" t="s">
        <v>8</v>
      </c>
      <c r="Y42" s="151" t="s">
        <v>9</v>
      </c>
      <c r="Z42" s="147" t="s">
        <v>7</v>
      </c>
      <c r="AA42" s="152" t="s">
        <v>8</v>
      </c>
      <c r="AB42" s="153" t="s">
        <v>9</v>
      </c>
      <c r="AC42" s="149" t="s">
        <v>7</v>
      </c>
      <c r="AD42" s="150" t="s">
        <v>8</v>
      </c>
      <c r="AE42" s="151" t="s">
        <v>9</v>
      </c>
    </row>
    <row r="43" spans="17:32" ht="10.050000000000001" customHeight="1" x14ac:dyDescent="0.2">
      <c r="Q43" s="148" t="s">
        <v>10</v>
      </c>
      <c r="R43" s="32">
        <v>40105</v>
      </c>
      <c r="S43" s="33">
        <v>14394</v>
      </c>
      <c r="T43" s="33">
        <v>819</v>
      </c>
      <c r="U43" s="33"/>
      <c r="V43" s="35"/>
      <c r="W43" s="81">
        <v>8754</v>
      </c>
      <c r="X43" s="82">
        <v>4344</v>
      </c>
      <c r="Y43" s="154">
        <f t="shared" ref="Y43:Y48" si="18">X43/W43</f>
        <v>0.49623029472241259</v>
      </c>
      <c r="Z43" s="34">
        <v>0</v>
      </c>
      <c r="AA43" s="34">
        <v>0</v>
      </c>
      <c r="AB43" s="155"/>
      <c r="AC43" s="81"/>
      <c r="AD43" s="82"/>
      <c r="AE43" s="154"/>
    </row>
    <row r="44" spans="17:32" ht="10.050000000000001" customHeight="1" x14ac:dyDescent="0.2">
      <c r="Q44" s="148" t="s">
        <v>11</v>
      </c>
      <c r="R44" s="32">
        <v>9320</v>
      </c>
      <c r="S44" s="33">
        <v>5987</v>
      </c>
      <c r="T44" s="33">
        <v>964</v>
      </c>
      <c r="U44" s="33"/>
      <c r="V44" s="35"/>
      <c r="W44" s="81">
        <v>8660</v>
      </c>
      <c r="X44" s="82">
        <v>3890</v>
      </c>
      <c r="Y44" s="154">
        <f t="shared" si="18"/>
        <v>0.44919168591224018</v>
      </c>
      <c r="Z44" s="34">
        <v>0</v>
      </c>
      <c r="AA44" s="34">
        <v>0</v>
      </c>
      <c r="AB44" s="155"/>
      <c r="AC44" s="81">
        <v>433</v>
      </c>
      <c r="AD44" s="82">
        <v>146</v>
      </c>
      <c r="AE44" s="154">
        <f>AD44/AC44</f>
        <v>0.33718244803695152</v>
      </c>
    </row>
    <row r="45" spans="17:32" ht="10.050000000000001" customHeight="1" x14ac:dyDescent="0.2">
      <c r="Q45" s="148" t="s">
        <v>12</v>
      </c>
      <c r="R45" s="32">
        <v>3710</v>
      </c>
      <c r="S45" s="33">
        <v>2080</v>
      </c>
      <c r="T45" s="33">
        <v>479</v>
      </c>
      <c r="U45" s="33"/>
      <c r="V45" s="35"/>
      <c r="W45" s="81">
        <v>2342</v>
      </c>
      <c r="X45" s="82">
        <v>897</v>
      </c>
      <c r="Y45" s="154">
        <f t="shared" si="18"/>
        <v>0.38300597779675494</v>
      </c>
      <c r="Z45" s="34">
        <v>0</v>
      </c>
      <c r="AA45" s="34">
        <v>0</v>
      </c>
      <c r="AB45" s="155"/>
      <c r="AC45" s="81">
        <v>1032</v>
      </c>
      <c r="AD45" s="82">
        <v>241</v>
      </c>
      <c r="AE45" s="154">
        <f>AD45/AC45</f>
        <v>0.23352713178294573</v>
      </c>
    </row>
    <row r="46" spans="17:32" ht="10.050000000000001" customHeight="1" x14ac:dyDescent="0.2">
      <c r="Q46" s="148" t="s">
        <v>13</v>
      </c>
      <c r="R46" s="32">
        <v>10456</v>
      </c>
      <c r="S46" s="33">
        <v>9734</v>
      </c>
      <c r="T46" s="33">
        <v>2800</v>
      </c>
      <c r="U46" s="33"/>
      <c r="V46" s="35"/>
      <c r="W46" s="81">
        <v>3298</v>
      </c>
      <c r="X46" s="82">
        <v>1030</v>
      </c>
      <c r="Y46" s="154">
        <f t="shared" si="18"/>
        <v>0.312310491206792</v>
      </c>
      <c r="Z46" s="34">
        <v>620</v>
      </c>
      <c r="AA46" s="34">
        <v>592</v>
      </c>
      <c r="AB46" s="155">
        <f t="shared" ref="AB46:AB47" si="19">AA46/Z46</f>
        <v>0.95483870967741935</v>
      </c>
      <c r="AC46" s="81">
        <v>1862</v>
      </c>
      <c r="AD46" s="82">
        <v>398</v>
      </c>
      <c r="AE46" s="154">
        <f>AD46/AC46</f>
        <v>0.21374865735767992</v>
      </c>
    </row>
    <row r="47" spans="17:32" ht="10.050000000000001" customHeight="1" thickBot="1" x14ac:dyDescent="0.25">
      <c r="Q47" s="209" t="s">
        <v>0</v>
      </c>
      <c r="R47" s="36">
        <v>6479</v>
      </c>
      <c r="S47" s="37">
        <v>6403</v>
      </c>
      <c r="T47" s="37">
        <v>2634</v>
      </c>
      <c r="U47" s="37"/>
      <c r="V47" s="83"/>
      <c r="W47" s="84">
        <v>2217</v>
      </c>
      <c r="X47" s="85">
        <v>516</v>
      </c>
      <c r="Y47" s="154">
        <f t="shared" si="18"/>
        <v>0.2327469553450609</v>
      </c>
      <c r="Z47" s="38">
        <v>2716</v>
      </c>
      <c r="AA47" s="38">
        <v>2616</v>
      </c>
      <c r="AB47" s="155">
        <f t="shared" si="19"/>
        <v>0.96318114874815908</v>
      </c>
      <c r="AC47" s="84">
        <v>1355</v>
      </c>
      <c r="AD47" s="85">
        <v>213</v>
      </c>
      <c r="AE47" s="156">
        <f>AD47/AC47</f>
        <v>0.15719557195571957</v>
      </c>
    </row>
    <row r="48" spans="17:32" ht="10.050000000000001" customHeight="1" x14ac:dyDescent="0.2">
      <c r="Q48" s="162"/>
      <c r="R48" s="39">
        <f>SUM(R43:R47)</f>
        <v>70070</v>
      </c>
      <c r="S48" s="39">
        <f t="shared" ref="S48:AD48" si="20">SUM(S43:S47)</f>
        <v>38598</v>
      </c>
      <c r="T48" s="39">
        <f t="shared" si="20"/>
        <v>7696</v>
      </c>
      <c r="U48" s="39">
        <f t="shared" si="20"/>
        <v>0</v>
      </c>
      <c r="V48" s="39">
        <f t="shared" si="20"/>
        <v>0</v>
      </c>
      <c r="W48" s="39">
        <f t="shared" si="20"/>
        <v>25271</v>
      </c>
      <c r="X48" s="39">
        <f t="shared" si="20"/>
        <v>10677</v>
      </c>
      <c r="Y48" s="158">
        <f t="shared" si="18"/>
        <v>0.42250009892762452</v>
      </c>
      <c r="Z48" s="39">
        <f t="shared" si="20"/>
        <v>3336</v>
      </c>
      <c r="AA48" s="39">
        <f t="shared" si="20"/>
        <v>3208</v>
      </c>
      <c r="AB48" s="158">
        <f>AA48/Z48</f>
        <v>0.9616306954436451</v>
      </c>
      <c r="AC48" s="39">
        <f t="shared" si="20"/>
        <v>4682</v>
      </c>
      <c r="AD48" s="39">
        <f t="shared" si="20"/>
        <v>998</v>
      </c>
      <c r="AE48" s="158">
        <f>AD48/AC48</f>
        <v>0.21315677061085006</v>
      </c>
    </row>
    <row r="49" spans="17:31" ht="10.050000000000001" customHeight="1" thickBot="1" x14ac:dyDescent="0.25">
      <c r="Q49" s="210"/>
      <c r="R49" s="40"/>
      <c r="S49" s="40"/>
      <c r="T49" s="40"/>
      <c r="U49" s="162"/>
      <c r="V49" s="31"/>
      <c r="W49" s="162"/>
      <c r="X49" s="162"/>
      <c r="Y49" s="162"/>
      <c r="Z49" s="162"/>
      <c r="AA49" s="162"/>
      <c r="AB49" s="162"/>
      <c r="AC49" s="162"/>
      <c r="AD49" s="162"/>
      <c r="AE49" s="162"/>
    </row>
    <row r="50" spans="17:31" ht="10.050000000000001" customHeight="1" thickBot="1" x14ac:dyDescent="0.25">
      <c r="Q50" s="144"/>
      <c r="R50" s="41"/>
      <c r="S50" s="42"/>
      <c r="T50" s="42"/>
      <c r="U50" s="221" t="s">
        <v>1</v>
      </c>
      <c r="V50" s="144" t="s">
        <v>67</v>
      </c>
      <c r="W50" s="227" t="s">
        <v>2</v>
      </c>
      <c r="X50" s="228"/>
      <c r="Y50" s="229"/>
      <c r="Z50" s="230" t="s">
        <v>3</v>
      </c>
      <c r="AA50" s="231"/>
      <c r="AB50" s="232"/>
      <c r="AC50" s="227" t="s">
        <v>4</v>
      </c>
      <c r="AD50" s="228"/>
      <c r="AE50" s="229"/>
    </row>
    <row r="51" spans="17:31" ht="10.050000000000001" customHeight="1" x14ac:dyDescent="0.2">
      <c r="Q51" s="148"/>
      <c r="R51" s="145" t="s">
        <v>5</v>
      </c>
      <c r="S51" s="42" t="s">
        <v>6</v>
      </c>
      <c r="T51" s="56" t="s">
        <v>66</v>
      </c>
      <c r="U51" s="148" t="s">
        <v>7</v>
      </c>
      <c r="V51" s="148" t="s">
        <v>7</v>
      </c>
      <c r="W51" s="163" t="s">
        <v>7</v>
      </c>
      <c r="X51" s="164" t="s">
        <v>8</v>
      </c>
      <c r="Y51" s="165" t="s">
        <v>9</v>
      </c>
      <c r="Z51" s="148" t="s">
        <v>7</v>
      </c>
      <c r="AA51" s="166" t="s">
        <v>8</v>
      </c>
      <c r="AB51" s="167" t="s">
        <v>9</v>
      </c>
      <c r="AC51" s="163" t="s">
        <v>7</v>
      </c>
      <c r="AD51" s="164" t="s">
        <v>8</v>
      </c>
      <c r="AE51" s="165" t="s">
        <v>9</v>
      </c>
    </row>
    <row r="52" spans="17:31" ht="10.050000000000001" customHeight="1" x14ac:dyDescent="0.2">
      <c r="Q52" s="148" t="s">
        <v>10</v>
      </c>
      <c r="R52" s="32">
        <v>40105</v>
      </c>
      <c r="S52" s="43">
        <v>14394</v>
      </c>
      <c r="T52" s="43">
        <v>819</v>
      </c>
      <c r="U52" s="34"/>
      <c r="V52" s="35"/>
      <c r="W52" s="81">
        <v>7094</v>
      </c>
      <c r="X52" s="82">
        <v>4344</v>
      </c>
      <c r="Y52" s="154">
        <f t="shared" ref="Y52:Y57" si="21">X52/W52</f>
        <v>0.6123484634902735</v>
      </c>
      <c r="Z52" s="34"/>
      <c r="AA52" s="34"/>
      <c r="AB52" s="155"/>
      <c r="AC52" s="81"/>
      <c r="AD52" s="82"/>
      <c r="AE52" s="154"/>
    </row>
    <row r="53" spans="17:31" ht="10.050000000000001" customHeight="1" x14ac:dyDescent="0.2">
      <c r="Q53" s="148" t="s">
        <v>11</v>
      </c>
      <c r="R53" s="32">
        <v>9320</v>
      </c>
      <c r="S53" s="43">
        <v>5987</v>
      </c>
      <c r="T53" s="43">
        <v>964</v>
      </c>
      <c r="U53" s="34"/>
      <c r="V53" s="35"/>
      <c r="W53" s="81">
        <v>6324</v>
      </c>
      <c r="X53" s="82">
        <v>3890</v>
      </c>
      <c r="Y53" s="154">
        <f t="shared" si="21"/>
        <v>0.61511701454775458</v>
      </c>
      <c r="Z53" s="34"/>
      <c r="AA53" s="34"/>
      <c r="AB53" s="155"/>
      <c r="AC53" s="81">
        <v>410</v>
      </c>
      <c r="AD53" s="82">
        <v>144</v>
      </c>
      <c r="AE53" s="154">
        <f>AD53/AC53</f>
        <v>0.35121951219512193</v>
      </c>
    </row>
    <row r="54" spans="17:31" ht="10.050000000000001" customHeight="1" x14ac:dyDescent="0.2">
      <c r="Q54" s="148" t="s">
        <v>12</v>
      </c>
      <c r="R54" s="32">
        <v>3710</v>
      </c>
      <c r="S54" s="43">
        <v>2080</v>
      </c>
      <c r="T54" s="43">
        <v>479</v>
      </c>
      <c r="U54" s="34"/>
      <c r="V54" s="35"/>
      <c r="W54" s="81">
        <v>1594</v>
      </c>
      <c r="X54" s="82">
        <v>897</v>
      </c>
      <c r="Y54" s="154">
        <f t="shared" si="21"/>
        <v>0.56273525721455453</v>
      </c>
      <c r="Z54" s="34"/>
      <c r="AA54" s="34"/>
      <c r="AB54" s="155"/>
      <c r="AC54" s="81">
        <v>931</v>
      </c>
      <c r="AD54" s="82">
        <v>221</v>
      </c>
      <c r="AE54" s="154">
        <f>AD54/AC54</f>
        <v>0.23737916219119226</v>
      </c>
    </row>
    <row r="55" spans="17:31" ht="10.050000000000001" customHeight="1" x14ac:dyDescent="0.2">
      <c r="Q55" s="148" t="s">
        <v>13</v>
      </c>
      <c r="R55" s="32">
        <v>10456</v>
      </c>
      <c r="S55" s="43">
        <v>9734</v>
      </c>
      <c r="T55" s="43">
        <v>2800</v>
      </c>
      <c r="U55" s="34"/>
      <c r="V55" s="35"/>
      <c r="W55" s="81">
        <v>2217</v>
      </c>
      <c r="X55" s="82">
        <v>1030</v>
      </c>
      <c r="Y55" s="154">
        <f t="shared" si="21"/>
        <v>0.4645917907081642</v>
      </c>
      <c r="Z55" s="34">
        <v>620</v>
      </c>
      <c r="AA55" s="34">
        <v>592</v>
      </c>
      <c r="AB55" s="155">
        <f t="shared" ref="AB55:AB56" si="22">AA55/Z55</f>
        <v>0.95483870967741935</v>
      </c>
      <c r="AC55" s="81">
        <v>1702</v>
      </c>
      <c r="AD55" s="82">
        <v>378</v>
      </c>
      <c r="AE55" s="154">
        <f>AD55/AC55</f>
        <v>0.22209165687426558</v>
      </c>
    </row>
    <row r="56" spans="17:31" ht="10.050000000000001" customHeight="1" thickBot="1" x14ac:dyDescent="0.25">
      <c r="Q56" s="209" t="s">
        <v>0</v>
      </c>
      <c r="R56" s="36">
        <v>6479</v>
      </c>
      <c r="S56" s="44">
        <v>6403</v>
      </c>
      <c r="T56" s="44">
        <v>2634</v>
      </c>
      <c r="U56" s="38"/>
      <c r="V56" s="83"/>
      <c r="W56" s="84">
        <v>1457</v>
      </c>
      <c r="X56" s="85">
        <v>516</v>
      </c>
      <c r="Y56" s="154">
        <f t="shared" si="21"/>
        <v>0.35415236787920384</v>
      </c>
      <c r="Z56" s="38">
        <v>2716</v>
      </c>
      <c r="AA56" s="38">
        <v>2616</v>
      </c>
      <c r="AB56" s="155">
        <f t="shared" si="22"/>
        <v>0.96318114874815908</v>
      </c>
      <c r="AC56" s="84">
        <v>1180</v>
      </c>
      <c r="AD56" s="85">
        <v>201</v>
      </c>
      <c r="AE56" s="156">
        <f>AD56/AC56</f>
        <v>0.17033898305084746</v>
      </c>
    </row>
    <row r="57" spans="17:31" ht="10.050000000000001" customHeight="1" x14ac:dyDescent="0.2">
      <c r="Q57" s="162"/>
      <c r="R57" s="39">
        <f>SUM(R52:R56)</f>
        <v>70070</v>
      </c>
      <c r="S57" s="39">
        <f t="shared" ref="S57:X57" si="23">SUM(S52:S56)</f>
        <v>38598</v>
      </c>
      <c r="T57" s="39">
        <f t="shared" si="23"/>
        <v>7696</v>
      </c>
      <c r="U57" s="39">
        <f t="shared" si="23"/>
        <v>0</v>
      </c>
      <c r="V57" s="39">
        <f t="shared" si="23"/>
        <v>0</v>
      </c>
      <c r="W57" s="39">
        <f t="shared" si="23"/>
        <v>18686</v>
      </c>
      <c r="X57" s="39">
        <f t="shared" si="23"/>
        <v>10677</v>
      </c>
      <c r="Y57" s="158">
        <f t="shared" si="21"/>
        <v>0.57139034571336833</v>
      </c>
      <c r="Z57" s="39">
        <f>SUM(Z55:Z56)</f>
        <v>3336</v>
      </c>
      <c r="AA57" s="39">
        <f>SUM(AA55:AA56)</f>
        <v>3208</v>
      </c>
      <c r="AB57" s="158">
        <f>AA57/Z57</f>
        <v>0.9616306954436451</v>
      </c>
      <c r="AC57" s="39">
        <f t="shared" ref="AC57:AD57" si="24">SUM(AC52:AC56)</f>
        <v>4223</v>
      </c>
      <c r="AD57" s="39">
        <f t="shared" si="24"/>
        <v>944</v>
      </c>
      <c r="AE57" s="158">
        <f>AD57/AC57</f>
        <v>0.2235377693582761</v>
      </c>
    </row>
    <row r="58" spans="17:31" ht="10.050000000000001" customHeight="1" x14ac:dyDescent="0.2">
      <c r="Q58" s="162"/>
      <c r="R58" s="39"/>
      <c r="S58" s="39"/>
      <c r="T58" s="39"/>
      <c r="U58" s="39"/>
      <c r="V58" s="39"/>
      <c r="W58" s="39"/>
      <c r="X58" s="39"/>
      <c r="Y58" s="158"/>
      <c r="Z58" s="39"/>
      <c r="AA58" s="39"/>
      <c r="AB58" s="158"/>
      <c r="AC58" s="39"/>
      <c r="AD58" s="39"/>
      <c r="AE58" s="158"/>
    </row>
    <row r="59" spans="17:31" ht="10.050000000000001" customHeight="1" thickBot="1" x14ac:dyDescent="0.25">
      <c r="Y59" s="141" t="s">
        <v>129</v>
      </c>
    </row>
    <row r="60" spans="17:31" ht="10.050000000000001" customHeight="1" thickBot="1" x14ac:dyDescent="0.25">
      <c r="Q60" s="208"/>
      <c r="R60" s="142"/>
      <c r="S60" s="143"/>
      <c r="T60" s="143"/>
      <c r="U60" s="220" t="s">
        <v>1</v>
      </c>
      <c r="V60" s="144" t="s">
        <v>67</v>
      </c>
      <c r="W60" s="224" t="s">
        <v>2</v>
      </c>
      <c r="X60" s="225"/>
      <c r="Y60" s="226"/>
      <c r="Z60" s="233" t="s">
        <v>3</v>
      </c>
      <c r="AA60" s="234"/>
      <c r="AB60" s="235"/>
      <c r="AC60" s="224" t="s">
        <v>4</v>
      </c>
      <c r="AD60" s="225"/>
      <c r="AE60" s="226"/>
    </row>
    <row r="61" spans="17:31" ht="10.050000000000001" customHeight="1" x14ac:dyDescent="0.2">
      <c r="Q61" s="147"/>
      <c r="R61" s="145" t="s">
        <v>5</v>
      </c>
      <c r="S61" s="146" t="s">
        <v>6</v>
      </c>
      <c r="T61" s="146" t="s">
        <v>66</v>
      </c>
      <c r="U61" s="147" t="s">
        <v>7</v>
      </c>
      <c r="V61" s="148" t="s">
        <v>7</v>
      </c>
      <c r="W61" s="149" t="s">
        <v>7</v>
      </c>
      <c r="X61" s="150" t="s">
        <v>8</v>
      </c>
      <c r="Y61" s="151" t="s">
        <v>9</v>
      </c>
      <c r="Z61" s="147" t="s">
        <v>7</v>
      </c>
      <c r="AA61" s="152" t="s">
        <v>8</v>
      </c>
      <c r="AB61" s="153" t="s">
        <v>9</v>
      </c>
      <c r="AC61" s="149" t="s">
        <v>7</v>
      </c>
      <c r="AD61" s="150" t="s">
        <v>8</v>
      </c>
      <c r="AE61" s="151" t="s">
        <v>9</v>
      </c>
    </row>
    <row r="62" spans="17:31" ht="10.050000000000001" customHeight="1" x14ac:dyDescent="0.2">
      <c r="Q62" s="148" t="s">
        <v>10</v>
      </c>
      <c r="R62" s="32">
        <v>40105</v>
      </c>
      <c r="S62" s="33">
        <v>14506</v>
      </c>
      <c r="T62" s="33">
        <v>819</v>
      </c>
      <c r="U62" s="33"/>
      <c r="V62" s="35">
        <v>10482</v>
      </c>
      <c r="W62" s="81">
        <v>27757</v>
      </c>
      <c r="X62" s="82">
        <v>9359</v>
      </c>
      <c r="Y62" s="154">
        <f t="shared" ref="Y62:Y67" si="25">X62/W62</f>
        <v>0.33717620780343699</v>
      </c>
      <c r="Z62" s="34"/>
      <c r="AA62" s="34"/>
      <c r="AB62" s="155"/>
      <c r="AC62" s="81"/>
      <c r="AD62" s="82"/>
      <c r="AE62" s="154"/>
    </row>
    <row r="63" spans="17:31" ht="10.050000000000001" customHeight="1" x14ac:dyDescent="0.2">
      <c r="Q63" s="148" t="s">
        <v>11</v>
      </c>
      <c r="R63" s="32">
        <v>9320</v>
      </c>
      <c r="S63" s="33">
        <v>6068</v>
      </c>
      <c r="T63" s="33">
        <v>964</v>
      </c>
      <c r="U63" s="33"/>
      <c r="V63" s="35">
        <v>7122</v>
      </c>
      <c r="W63" s="81">
        <v>19645</v>
      </c>
      <c r="X63" s="82">
        <v>6152</v>
      </c>
      <c r="Y63" s="154">
        <f t="shared" si="25"/>
        <v>0.31315856452023416</v>
      </c>
      <c r="Z63" s="34"/>
      <c r="AA63" s="34"/>
      <c r="AB63" s="155"/>
      <c r="AC63" s="81">
        <v>200</v>
      </c>
      <c r="AD63" s="82">
        <v>83</v>
      </c>
      <c r="AE63" s="154">
        <f>AD63/AC63</f>
        <v>0.41499999999999998</v>
      </c>
    </row>
    <row r="64" spans="17:31" ht="10.050000000000001" customHeight="1" x14ac:dyDescent="0.2">
      <c r="Q64" s="148" t="s">
        <v>12</v>
      </c>
      <c r="R64" s="32">
        <v>3710</v>
      </c>
      <c r="S64" s="33">
        <v>2106</v>
      </c>
      <c r="T64" s="33">
        <v>479</v>
      </c>
      <c r="U64" s="33"/>
      <c r="V64" s="35">
        <v>2651</v>
      </c>
      <c r="W64" s="81">
        <v>9051</v>
      </c>
      <c r="X64" s="82">
        <v>2142</v>
      </c>
      <c r="Y64" s="154">
        <f t="shared" si="25"/>
        <v>0.23665893271461716</v>
      </c>
      <c r="Z64" s="34"/>
      <c r="AA64" s="34"/>
      <c r="AB64" s="155"/>
      <c r="AC64" s="81">
        <v>525</v>
      </c>
      <c r="AD64" s="82">
        <v>116</v>
      </c>
      <c r="AE64" s="154">
        <f>AD64/AC64</f>
        <v>0.22095238095238096</v>
      </c>
    </row>
    <row r="65" spans="17:31" ht="10.050000000000001" customHeight="1" x14ac:dyDescent="0.2">
      <c r="Q65" s="148" t="s">
        <v>13</v>
      </c>
      <c r="R65" s="32">
        <v>10456</v>
      </c>
      <c r="S65" s="33">
        <v>9786</v>
      </c>
      <c r="T65" s="33">
        <v>2800</v>
      </c>
      <c r="U65" s="33"/>
      <c r="V65" s="35">
        <v>7759</v>
      </c>
      <c r="W65" s="81">
        <v>31345</v>
      </c>
      <c r="X65" s="82">
        <v>5958</v>
      </c>
      <c r="Y65" s="154">
        <f t="shared" si="25"/>
        <v>0.19007816238634551</v>
      </c>
      <c r="Z65" s="34"/>
      <c r="AA65" s="34"/>
      <c r="AB65" s="155"/>
      <c r="AC65" s="81">
        <v>1823</v>
      </c>
      <c r="AD65" s="82">
        <v>392</v>
      </c>
      <c r="AE65" s="154">
        <f>AD65/AC65</f>
        <v>0.21503017004936917</v>
      </c>
    </row>
    <row r="66" spans="17:31" ht="10.050000000000001" customHeight="1" thickBot="1" x14ac:dyDescent="0.25">
      <c r="Q66" s="209" t="s">
        <v>0</v>
      </c>
      <c r="R66" s="36">
        <v>6479</v>
      </c>
      <c r="S66" s="37">
        <v>6415</v>
      </c>
      <c r="T66" s="37">
        <v>2634</v>
      </c>
      <c r="U66" s="37"/>
      <c r="V66" s="83">
        <v>3128</v>
      </c>
      <c r="W66" s="84">
        <v>23156</v>
      </c>
      <c r="X66" s="85">
        <v>3055</v>
      </c>
      <c r="Y66" s="154">
        <f t="shared" si="25"/>
        <v>0.1319312489203662</v>
      </c>
      <c r="Z66" s="38"/>
      <c r="AA66" s="38"/>
      <c r="AB66" s="155"/>
      <c r="AC66" s="84">
        <v>882</v>
      </c>
      <c r="AD66" s="85">
        <v>154</v>
      </c>
      <c r="AE66" s="156">
        <f>AD66/AC66</f>
        <v>0.17460317460317459</v>
      </c>
    </row>
    <row r="67" spans="17:31" ht="10.050000000000001" customHeight="1" x14ac:dyDescent="0.2">
      <c r="Q67" s="162"/>
      <c r="R67" s="39">
        <f>SUM(R62:R66)</f>
        <v>70070</v>
      </c>
      <c r="S67" s="39">
        <f t="shared" ref="S67:AD67" si="26">SUM(S62:S66)</f>
        <v>38881</v>
      </c>
      <c r="T67" s="39">
        <f t="shared" si="26"/>
        <v>7696</v>
      </c>
      <c r="U67" s="39">
        <f t="shared" si="26"/>
        <v>0</v>
      </c>
      <c r="V67" s="39">
        <f t="shared" si="26"/>
        <v>31142</v>
      </c>
      <c r="W67" s="39">
        <f t="shared" si="26"/>
        <v>110954</v>
      </c>
      <c r="X67" s="39">
        <f t="shared" si="26"/>
        <v>26666</v>
      </c>
      <c r="Y67" s="158">
        <f t="shared" si="25"/>
        <v>0.24033383203850245</v>
      </c>
      <c r="Z67" s="39">
        <f t="shared" si="26"/>
        <v>0</v>
      </c>
      <c r="AA67" s="39">
        <f t="shared" si="26"/>
        <v>0</v>
      </c>
      <c r="AB67" s="158"/>
      <c r="AC67" s="39">
        <f t="shared" si="26"/>
        <v>3430</v>
      </c>
      <c r="AD67" s="39">
        <f t="shared" si="26"/>
        <v>745</v>
      </c>
      <c r="AE67" s="158">
        <f>AD67/AC67</f>
        <v>0.21720116618075802</v>
      </c>
    </row>
    <row r="68" spans="17:31" ht="10.050000000000001" customHeight="1" thickBot="1" x14ac:dyDescent="0.25">
      <c r="Q68" s="210"/>
      <c r="R68" s="40"/>
      <c r="S68" s="40"/>
      <c r="T68" s="40"/>
      <c r="U68" s="162"/>
      <c r="V68" s="31"/>
      <c r="W68" s="162"/>
      <c r="X68" s="162"/>
      <c r="Y68" s="162"/>
      <c r="Z68" s="162"/>
      <c r="AA68" s="162"/>
      <c r="AB68" s="162"/>
      <c r="AC68" s="162"/>
      <c r="AD68" s="162"/>
      <c r="AE68" s="162"/>
    </row>
    <row r="69" spans="17:31" ht="10.050000000000001" customHeight="1" thickBot="1" x14ac:dyDescent="0.25">
      <c r="Q69" s="144"/>
      <c r="R69" s="41"/>
      <c r="S69" s="42"/>
      <c r="T69" s="42"/>
      <c r="U69" s="221" t="s">
        <v>1</v>
      </c>
      <c r="V69" s="144" t="s">
        <v>67</v>
      </c>
      <c r="W69" s="227" t="s">
        <v>2</v>
      </c>
      <c r="X69" s="228"/>
      <c r="Y69" s="229"/>
      <c r="Z69" s="230" t="s">
        <v>3</v>
      </c>
      <c r="AA69" s="231"/>
      <c r="AB69" s="232"/>
      <c r="AC69" s="227" t="s">
        <v>4</v>
      </c>
      <c r="AD69" s="228"/>
      <c r="AE69" s="229"/>
    </row>
    <row r="70" spans="17:31" ht="10.050000000000001" customHeight="1" x14ac:dyDescent="0.2">
      <c r="Q70" s="148"/>
      <c r="R70" s="145" t="s">
        <v>5</v>
      </c>
      <c r="S70" s="42" t="s">
        <v>6</v>
      </c>
      <c r="T70" s="56" t="s">
        <v>66</v>
      </c>
      <c r="U70" s="148" t="s">
        <v>7</v>
      </c>
      <c r="V70" s="148" t="s">
        <v>7</v>
      </c>
      <c r="W70" s="163" t="s">
        <v>7</v>
      </c>
      <c r="X70" s="164" t="s">
        <v>8</v>
      </c>
      <c r="Y70" s="165" t="s">
        <v>9</v>
      </c>
      <c r="Z70" s="148" t="s">
        <v>7</v>
      </c>
      <c r="AA70" s="166" t="s">
        <v>8</v>
      </c>
      <c r="AB70" s="167" t="s">
        <v>9</v>
      </c>
      <c r="AC70" s="163" t="s">
        <v>7</v>
      </c>
      <c r="AD70" s="164" t="s">
        <v>8</v>
      </c>
      <c r="AE70" s="165" t="s">
        <v>9</v>
      </c>
    </row>
    <row r="71" spans="17:31" ht="10.050000000000001" customHeight="1" x14ac:dyDescent="0.2">
      <c r="Q71" s="148" t="s">
        <v>10</v>
      </c>
      <c r="R71" s="32">
        <v>40105</v>
      </c>
      <c r="S71" s="43">
        <v>14506</v>
      </c>
      <c r="T71" s="43">
        <v>819</v>
      </c>
      <c r="U71" s="34"/>
      <c r="V71" s="35">
        <v>10482</v>
      </c>
      <c r="W71" s="81">
        <v>11912</v>
      </c>
      <c r="X71" s="82">
        <v>9359</v>
      </c>
      <c r="Y71" s="154">
        <f t="shared" ref="Y71:Y76" si="27">X71/W71</f>
        <v>0.78567830758898594</v>
      </c>
      <c r="Z71" s="34"/>
      <c r="AA71" s="34"/>
      <c r="AB71" s="155"/>
      <c r="AC71" s="81"/>
      <c r="AD71" s="82"/>
      <c r="AE71" s="154"/>
    </row>
    <row r="72" spans="17:31" ht="10.050000000000001" customHeight="1" x14ac:dyDescent="0.2">
      <c r="Q72" s="148" t="s">
        <v>11</v>
      </c>
      <c r="R72" s="32">
        <v>9320</v>
      </c>
      <c r="S72" s="43">
        <v>6068</v>
      </c>
      <c r="T72" s="43">
        <v>964</v>
      </c>
      <c r="U72" s="34"/>
      <c r="V72" s="35">
        <v>7122</v>
      </c>
      <c r="W72" s="81">
        <v>7979</v>
      </c>
      <c r="X72" s="82">
        <v>6152</v>
      </c>
      <c r="Y72" s="154">
        <f t="shared" si="27"/>
        <v>0.77102393783682166</v>
      </c>
      <c r="Z72" s="34"/>
      <c r="AA72" s="34"/>
      <c r="AB72" s="155"/>
      <c r="AC72" s="81">
        <v>192</v>
      </c>
      <c r="AD72" s="82">
        <v>82</v>
      </c>
      <c r="AE72" s="154">
        <f>AD72/AC72</f>
        <v>0.42708333333333331</v>
      </c>
    </row>
    <row r="73" spans="17:31" ht="10.050000000000001" customHeight="1" x14ac:dyDescent="0.2">
      <c r="Q73" s="148" t="s">
        <v>12</v>
      </c>
      <c r="R73" s="32">
        <v>3710</v>
      </c>
      <c r="S73" s="43">
        <v>2106</v>
      </c>
      <c r="T73" s="43">
        <v>479</v>
      </c>
      <c r="U73" s="34"/>
      <c r="V73" s="35">
        <v>2651</v>
      </c>
      <c r="W73" s="81">
        <v>2996</v>
      </c>
      <c r="X73" s="82">
        <v>2142</v>
      </c>
      <c r="Y73" s="154">
        <f t="shared" si="27"/>
        <v>0.71495327102803741</v>
      </c>
      <c r="Z73" s="34"/>
      <c r="AA73" s="34"/>
      <c r="AB73" s="155"/>
      <c r="AC73" s="81">
        <v>489</v>
      </c>
      <c r="AD73" s="82">
        <v>109</v>
      </c>
      <c r="AE73" s="154">
        <f>AD73/AC73</f>
        <v>0.22290388548057261</v>
      </c>
    </row>
    <row r="74" spans="17:31" ht="10.050000000000001" customHeight="1" x14ac:dyDescent="0.2">
      <c r="Q74" s="148" t="s">
        <v>13</v>
      </c>
      <c r="R74" s="32">
        <v>10456</v>
      </c>
      <c r="S74" s="43">
        <v>9786</v>
      </c>
      <c r="T74" s="43">
        <v>2800</v>
      </c>
      <c r="U74" s="34"/>
      <c r="V74" s="35">
        <v>7759</v>
      </c>
      <c r="W74" s="81">
        <v>10020</v>
      </c>
      <c r="X74" s="82">
        <v>5958</v>
      </c>
      <c r="Y74" s="154">
        <f t="shared" si="27"/>
        <v>0.59461077844311372</v>
      </c>
      <c r="Z74" s="34"/>
      <c r="AA74" s="34"/>
      <c r="AB74" s="155"/>
      <c r="AC74" s="81">
        <v>1629</v>
      </c>
      <c r="AD74" s="82">
        <v>360</v>
      </c>
      <c r="AE74" s="154">
        <f>AD74/AC74</f>
        <v>0.22099447513812154</v>
      </c>
    </row>
    <row r="75" spans="17:31" ht="10.050000000000001" customHeight="1" thickBot="1" x14ac:dyDescent="0.25">
      <c r="Q75" s="209" t="s">
        <v>0</v>
      </c>
      <c r="R75" s="36">
        <v>6479</v>
      </c>
      <c r="S75" s="44">
        <v>6415</v>
      </c>
      <c r="T75" s="44">
        <v>2634</v>
      </c>
      <c r="U75" s="38"/>
      <c r="V75" s="83">
        <v>3128</v>
      </c>
      <c r="W75" s="84">
        <v>6417</v>
      </c>
      <c r="X75" s="85">
        <v>3055</v>
      </c>
      <c r="Y75" s="154">
        <f t="shared" si="27"/>
        <v>0.47607916471871592</v>
      </c>
      <c r="Z75" s="38"/>
      <c r="AA75" s="38"/>
      <c r="AB75" s="155"/>
      <c r="AC75" s="84">
        <v>774</v>
      </c>
      <c r="AD75" s="85">
        <v>143</v>
      </c>
      <c r="AE75" s="156">
        <f>AD75/AC75</f>
        <v>0.1847545219638243</v>
      </c>
    </row>
    <row r="76" spans="17:31" ht="10.050000000000001" customHeight="1" x14ac:dyDescent="0.2">
      <c r="Q76" s="162"/>
      <c r="R76" s="39">
        <f>SUM(R71:R75)</f>
        <v>70070</v>
      </c>
      <c r="S76" s="39">
        <f t="shared" ref="S76:X76" si="28">SUM(S71:S75)</f>
        <v>38881</v>
      </c>
      <c r="T76" s="39">
        <f t="shared" si="28"/>
        <v>7696</v>
      </c>
      <c r="U76" s="39">
        <f t="shared" si="28"/>
        <v>0</v>
      </c>
      <c r="V76" s="39">
        <f t="shared" si="28"/>
        <v>31142</v>
      </c>
      <c r="W76" s="39">
        <f t="shared" si="28"/>
        <v>39324</v>
      </c>
      <c r="X76" s="39">
        <f t="shared" si="28"/>
        <v>26666</v>
      </c>
      <c r="Y76" s="158">
        <f t="shared" si="27"/>
        <v>0.67811006001424068</v>
      </c>
      <c r="Z76" s="39"/>
      <c r="AA76" s="39"/>
      <c r="AB76" s="158"/>
      <c r="AC76" s="39">
        <f t="shared" ref="AC76:AD76" si="29">SUM(AC71:AC75)</f>
        <v>3084</v>
      </c>
      <c r="AD76" s="39">
        <f t="shared" si="29"/>
        <v>694</v>
      </c>
      <c r="AE76" s="158">
        <f>AD76/AC76</f>
        <v>0.22503242542153049</v>
      </c>
    </row>
    <row r="77" spans="17:31" ht="10.050000000000001" customHeight="1" x14ac:dyDescent="0.2">
      <c r="Q77" s="96"/>
    </row>
    <row r="78" spans="17:31" ht="10.050000000000001" customHeight="1" thickBot="1" x14ac:dyDescent="0.25">
      <c r="Y78" s="177">
        <v>45945</v>
      </c>
    </row>
    <row r="79" spans="17:31" ht="10.050000000000001" customHeight="1" thickBot="1" x14ac:dyDescent="0.25">
      <c r="Q79" s="208"/>
      <c r="R79" s="142"/>
      <c r="S79" s="143"/>
      <c r="T79" s="143"/>
      <c r="U79" s="220" t="s">
        <v>1</v>
      </c>
      <c r="V79" s="144" t="s">
        <v>67</v>
      </c>
      <c r="W79" s="224" t="s">
        <v>2</v>
      </c>
      <c r="X79" s="225"/>
      <c r="Y79" s="226"/>
      <c r="Z79" s="233" t="s">
        <v>3</v>
      </c>
      <c r="AA79" s="234"/>
      <c r="AB79" s="235"/>
      <c r="AC79" s="224" t="s">
        <v>4</v>
      </c>
      <c r="AD79" s="225"/>
      <c r="AE79" s="226"/>
    </row>
    <row r="80" spans="17:31" ht="10.050000000000001" customHeight="1" x14ac:dyDescent="0.2">
      <c r="Q80" s="147"/>
      <c r="R80" s="145" t="s">
        <v>5</v>
      </c>
      <c r="S80" s="146" t="s">
        <v>6</v>
      </c>
      <c r="T80" s="146" t="s">
        <v>66</v>
      </c>
      <c r="U80" s="147" t="s">
        <v>7</v>
      </c>
      <c r="V80" s="148" t="s">
        <v>7</v>
      </c>
      <c r="W80" s="149" t="s">
        <v>7</v>
      </c>
      <c r="X80" s="150" t="s">
        <v>8</v>
      </c>
      <c r="Y80" s="151" t="s">
        <v>9</v>
      </c>
      <c r="Z80" s="147" t="s">
        <v>7</v>
      </c>
      <c r="AA80" s="152" t="s">
        <v>8</v>
      </c>
      <c r="AB80" s="153"/>
      <c r="AC80" s="149" t="s">
        <v>7</v>
      </c>
      <c r="AD80" s="150" t="s">
        <v>8</v>
      </c>
      <c r="AE80" s="151" t="s">
        <v>9</v>
      </c>
    </row>
    <row r="81" spans="17:31" ht="10.050000000000001" customHeight="1" x14ac:dyDescent="0.2">
      <c r="Q81" s="148" t="s">
        <v>10</v>
      </c>
      <c r="R81" s="32">
        <v>40105</v>
      </c>
      <c r="S81" s="33">
        <v>14915</v>
      </c>
      <c r="T81" s="33">
        <v>508</v>
      </c>
      <c r="U81" s="33">
        <v>12321</v>
      </c>
      <c r="V81" s="35">
        <v>10730</v>
      </c>
      <c r="W81" s="81">
        <v>7605</v>
      </c>
      <c r="X81" s="82">
        <v>4188</v>
      </c>
      <c r="Y81" s="154">
        <f t="shared" ref="Y81:Y86" si="30">X81/W81</f>
        <v>0.55069033530571987</v>
      </c>
      <c r="Z81" s="34"/>
      <c r="AA81" s="34"/>
      <c r="AB81" s="155"/>
      <c r="AC81" s="81"/>
      <c r="AD81" s="82"/>
      <c r="AE81" s="154"/>
    </row>
    <row r="82" spans="17:31" ht="10.050000000000001" customHeight="1" x14ac:dyDescent="0.2">
      <c r="Q82" s="148" t="s">
        <v>11</v>
      </c>
      <c r="R82" s="32">
        <v>9320</v>
      </c>
      <c r="S82" s="33">
        <v>6202</v>
      </c>
      <c r="T82" s="33">
        <v>332</v>
      </c>
      <c r="U82" s="33">
        <v>8132</v>
      </c>
      <c r="V82" s="35">
        <v>7180</v>
      </c>
      <c r="W82" s="81">
        <v>6972</v>
      </c>
      <c r="X82" s="82">
        <v>3415</v>
      </c>
      <c r="Y82" s="154">
        <f t="shared" si="30"/>
        <v>0.4898164084911073</v>
      </c>
      <c r="Z82" s="34"/>
      <c r="AA82" s="34"/>
      <c r="AB82" s="155"/>
      <c r="AC82" s="81">
        <v>461</v>
      </c>
      <c r="AD82" s="82">
        <v>188</v>
      </c>
      <c r="AE82" s="154">
        <f>AD82/AC82</f>
        <v>0.40780911062906722</v>
      </c>
    </row>
    <row r="83" spans="17:31" ht="10.050000000000001" customHeight="1" x14ac:dyDescent="0.2">
      <c r="Q83" s="148" t="s">
        <v>12</v>
      </c>
      <c r="R83" s="32">
        <v>3710</v>
      </c>
      <c r="S83" s="33">
        <v>2154</v>
      </c>
      <c r="T83" s="33">
        <v>97</v>
      </c>
      <c r="U83" s="33">
        <v>3079</v>
      </c>
      <c r="V83" s="35">
        <v>2687</v>
      </c>
      <c r="W83" s="81">
        <v>2234</v>
      </c>
      <c r="X83" s="82">
        <v>904</v>
      </c>
      <c r="Y83" s="154">
        <f t="shared" si="30"/>
        <v>0.40465532676812893</v>
      </c>
      <c r="Z83" s="34"/>
      <c r="AA83" s="34"/>
      <c r="AB83" s="155"/>
      <c r="AC83" s="81">
        <v>1016</v>
      </c>
      <c r="AD83" s="82">
        <v>242</v>
      </c>
      <c r="AE83" s="154">
        <f>AD83/AC83</f>
        <v>0.23818897637795275</v>
      </c>
    </row>
    <row r="84" spans="17:31" ht="10.050000000000001" customHeight="1" x14ac:dyDescent="0.2">
      <c r="Q84" s="148" t="s">
        <v>13</v>
      </c>
      <c r="R84" s="32">
        <v>10456</v>
      </c>
      <c r="S84" s="33">
        <v>9841</v>
      </c>
      <c r="T84" s="33">
        <v>652</v>
      </c>
      <c r="U84" s="33">
        <v>10090</v>
      </c>
      <c r="V84" s="35">
        <v>7806</v>
      </c>
      <c r="W84" s="81">
        <v>3216</v>
      </c>
      <c r="X84" s="82">
        <v>1062</v>
      </c>
      <c r="Y84" s="154">
        <f t="shared" si="30"/>
        <v>0.33022388059701491</v>
      </c>
      <c r="Z84" s="34"/>
      <c r="AA84" s="34"/>
      <c r="AB84" s="155"/>
      <c r="AC84" s="81">
        <v>2116</v>
      </c>
      <c r="AD84" s="82">
        <v>416</v>
      </c>
      <c r="AE84" s="154">
        <f>AD84/AC84</f>
        <v>0.19659735349716445</v>
      </c>
    </row>
    <row r="85" spans="17:31" ht="10.050000000000001" customHeight="1" thickBot="1" x14ac:dyDescent="0.25">
      <c r="Q85" s="209" t="s">
        <v>0</v>
      </c>
      <c r="R85" s="36">
        <v>6479</v>
      </c>
      <c r="S85" s="37">
        <v>6426</v>
      </c>
      <c r="T85" s="37">
        <v>769</v>
      </c>
      <c r="U85" s="37">
        <v>6426</v>
      </c>
      <c r="V85" s="83">
        <v>3134</v>
      </c>
      <c r="W85" s="84">
        <v>2156</v>
      </c>
      <c r="X85" s="85">
        <v>528</v>
      </c>
      <c r="Y85" s="154">
        <f t="shared" si="30"/>
        <v>0.24489795918367346</v>
      </c>
      <c r="Z85" s="38"/>
      <c r="AA85" s="38"/>
      <c r="AB85" s="155"/>
      <c r="AC85" s="84">
        <v>1620</v>
      </c>
      <c r="AD85" s="85">
        <v>301</v>
      </c>
      <c r="AE85" s="156">
        <f>AD85/AC85</f>
        <v>0.18580246913580248</v>
      </c>
    </row>
    <row r="86" spans="17:31" ht="10.050000000000001" customHeight="1" x14ac:dyDescent="0.2">
      <c r="Q86" s="162"/>
      <c r="R86" s="39">
        <f t="shared" ref="R86:X86" si="31">SUM(R81:R85)</f>
        <v>70070</v>
      </c>
      <c r="S86" s="39">
        <f t="shared" si="31"/>
        <v>39538</v>
      </c>
      <c r="T86" s="39">
        <f t="shared" si="31"/>
        <v>2358</v>
      </c>
      <c r="U86" s="39">
        <f>SUM(U81:U85)</f>
        <v>40048</v>
      </c>
      <c r="V86" s="157">
        <f t="shared" si="31"/>
        <v>31537</v>
      </c>
      <c r="W86" s="160">
        <f t="shared" si="31"/>
        <v>22183</v>
      </c>
      <c r="X86" s="160">
        <f t="shared" si="31"/>
        <v>10097</v>
      </c>
      <c r="Y86" s="161">
        <f t="shared" si="30"/>
        <v>0.45516837217689221</v>
      </c>
      <c r="Z86" s="157"/>
      <c r="AA86" s="157"/>
      <c r="AB86" s="159"/>
      <c r="AC86" s="160">
        <f>SUM(AC81:AC85)</f>
        <v>5213</v>
      </c>
      <c r="AD86" s="160">
        <f>SUM(AD81:AD85)</f>
        <v>1147</v>
      </c>
      <c r="AE86" s="161">
        <f>AD86/AC86</f>
        <v>0.22002685593708038</v>
      </c>
    </row>
    <row r="87" spans="17:31" ht="10.050000000000001" customHeight="1" thickBot="1" x14ac:dyDescent="0.25">
      <c r="Q87" s="210"/>
      <c r="R87" s="40"/>
      <c r="S87" s="40"/>
      <c r="T87" s="40"/>
      <c r="U87" s="162"/>
      <c r="V87" s="31"/>
      <c r="W87" s="162"/>
      <c r="X87" s="162"/>
      <c r="Y87" s="162"/>
      <c r="Z87" s="162"/>
      <c r="AA87" s="162"/>
      <c r="AB87" s="162"/>
      <c r="AC87" s="162"/>
      <c r="AD87" s="162"/>
      <c r="AE87" s="162"/>
    </row>
    <row r="88" spans="17:31" ht="10.050000000000001" customHeight="1" thickBot="1" x14ac:dyDescent="0.25">
      <c r="Q88" s="144"/>
      <c r="R88" s="41"/>
      <c r="S88" s="42"/>
      <c r="T88" s="42"/>
      <c r="U88" s="221" t="s">
        <v>1</v>
      </c>
      <c r="V88" s="144" t="s">
        <v>67</v>
      </c>
      <c r="W88" s="227" t="s">
        <v>2</v>
      </c>
      <c r="X88" s="228"/>
      <c r="Y88" s="229"/>
      <c r="Z88" s="230" t="s">
        <v>3</v>
      </c>
      <c r="AA88" s="231"/>
      <c r="AB88" s="232"/>
      <c r="AC88" s="227" t="s">
        <v>4</v>
      </c>
      <c r="AD88" s="228"/>
      <c r="AE88" s="229"/>
    </row>
    <row r="89" spans="17:31" ht="10.050000000000001" customHeight="1" x14ac:dyDescent="0.2">
      <c r="Q89" s="148"/>
      <c r="R89" s="145" t="s">
        <v>5</v>
      </c>
      <c r="S89" s="42" t="s">
        <v>6</v>
      </c>
      <c r="T89" s="42" t="s">
        <v>66</v>
      </c>
      <c r="U89" s="148" t="s">
        <v>7</v>
      </c>
      <c r="V89" s="148" t="s">
        <v>7</v>
      </c>
      <c r="W89" s="163" t="s">
        <v>7</v>
      </c>
      <c r="X89" s="164" t="s">
        <v>8</v>
      </c>
      <c r="Y89" s="165" t="s">
        <v>9</v>
      </c>
      <c r="Z89" s="148" t="s">
        <v>7</v>
      </c>
      <c r="AA89" s="166" t="s">
        <v>8</v>
      </c>
      <c r="AB89" s="167" t="s">
        <v>9</v>
      </c>
      <c r="AC89" s="163" t="s">
        <v>7</v>
      </c>
      <c r="AD89" s="164" t="s">
        <v>8</v>
      </c>
      <c r="AE89" s="165" t="s">
        <v>9</v>
      </c>
    </row>
    <row r="90" spans="17:31" ht="10.050000000000001" customHeight="1" x14ac:dyDescent="0.2">
      <c r="Q90" s="148" t="s">
        <v>10</v>
      </c>
      <c r="R90" s="32">
        <v>40105</v>
      </c>
      <c r="S90" s="43">
        <v>14915</v>
      </c>
      <c r="T90" s="43">
        <v>508</v>
      </c>
      <c r="U90" s="34">
        <v>12321</v>
      </c>
      <c r="V90" s="35">
        <v>10730</v>
      </c>
      <c r="W90" s="81">
        <v>7605</v>
      </c>
      <c r="X90" s="82">
        <v>4188</v>
      </c>
      <c r="Y90" s="154">
        <f t="shared" ref="Y90:Y95" si="32">X90/W90</f>
        <v>0.55069033530571987</v>
      </c>
      <c r="Z90" s="34"/>
      <c r="AA90" s="34"/>
      <c r="AB90" s="155"/>
      <c r="AC90" s="81"/>
      <c r="AD90" s="82"/>
      <c r="AE90" s="154"/>
    </row>
    <row r="91" spans="17:31" ht="10.050000000000001" customHeight="1" x14ac:dyDescent="0.2">
      <c r="Q91" s="148" t="s">
        <v>11</v>
      </c>
      <c r="R91" s="32">
        <v>9320</v>
      </c>
      <c r="S91" s="43">
        <v>6202</v>
      </c>
      <c r="T91" s="43">
        <v>332</v>
      </c>
      <c r="U91" s="34">
        <v>8132</v>
      </c>
      <c r="V91" s="35">
        <v>7180</v>
      </c>
      <c r="W91" s="81">
        <v>6469</v>
      </c>
      <c r="X91" s="82">
        <v>3415</v>
      </c>
      <c r="Y91" s="154">
        <f t="shared" si="32"/>
        <v>0.52790230329262633</v>
      </c>
      <c r="Z91" s="34"/>
      <c r="AA91" s="34"/>
      <c r="AB91" s="155"/>
      <c r="AC91" s="81">
        <v>438</v>
      </c>
      <c r="AD91" s="82">
        <v>174</v>
      </c>
      <c r="AE91" s="154">
        <f>AD91/AC91</f>
        <v>0.39726027397260272</v>
      </c>
    </row>
    <row r="92" spans="17:31" ht="10.050000000000001" customHeight="1" x14ac:dyDescent="0.2">
      <c r="Q92" s="148" t="s">
        <v>12</v>
      </c>
      <c r="R92" s="32">
        <v>3710</v>
      </c>
      <c r="S92" s="43">
        <v>2154</v>
      </c>
      <c r="T92" s="43">
        <v>97</v>
      </c>
      <c r="U92" s="34">
        <v>3079</v>
      </c>
      <c r="V92" s="35">
        <v>2687</v>
      </c>
      <c r="W92" s="81">
        <v>1642</v>
      </c>
      <c r="X92" s="82">
        <v>904</v>
      </c>
      <c r="Y92" s="154">
        <f t="shared" si="32"/>
        <v>0.55054811205846532</v>
      </c>
      <c r="Z92" s="34"/>
      <c r="AA92" s="34"/>
      <c r="AB92" s="155"/>
      <c r="AC92" s="81">
        <v>894</v>
      </c>
      <c r="AD92" s="82">
        <v>221</v>
      </c>
      <c r="AE92" s="154">
        <f>AD92/AC92</f>
        <v>0.24720357941834453</v>
      </c>
    </row>
    <row r="93" spans="17:31" ht="10.050000000000001" customHeight="1" x14ac:dyDescent="0.2">
      <c r="Q93" s="148" t="s">
        <v>13</v>
      </c>
      <c r="R93" s="32">
        <v>10456</v>
      </c>
      <c r="S93" s="43">
        <v>9841</v>
      </c>
      <c r="T93" s="43">
        <v>652</v>
      </c>
      <c r="U93" s="34">
        <v>10090</v>
      </c>
      <c r="V93" s="35">
        <v>7806</v>
      </c>
      <c r="W93" s="81">
        <v>2239</v>
      </c>
      <c r="X93" s="82">
        <v>1062</v>
      </c>
      <c r="Y93" s="154">
        <f t="shared" si="32"/>
        <v>0.47431889236266189</v>
      </c>
      <c r="Z93" s="34"/>
      <c r="AA93" s="34"/>
      <c r="AB93" s="155"/>
      <c r="AC93" s="81">
        <v>1898</v>
      </c>
      <c r="AD93" s="82">
        <v>393</v>
      </c>
      <c r="AE93" s="154">
        <f>AD93/AC93</f>
        <v>0.20706006322444678</v>
      </c>
    </row>
    <row r="94" spans="17:31" ht="10.050000000000001" customHeight="1" thickBot="1" x14ac:dyDescent="0.25">
      <c r="Q94" s="209" t="s">
        <v>0</v>
      </c>
      <c r="R94" s="36">
        <v>6479</v>
      </c>
      <c r="S94" s="44">
        <v>6426</v>
      </c>
      <c r="T94" s="44">
        <v>769</v>
      </c>
      <c r="U94" s="38">
        <v>6426</v>
      </c>
      <c r="V94" s="83">
        <v>3134</v>
      </c>
      <c r="W94" s="84">
        <v>1462</v>
      </c>
      <c r="X94" s="85">
        <v>528</v>
      </c>
      <c r="Y94" s="154">
        <f t="shared" si="32"/>
        <v>0.36114911080711354</v>
      </c>
      <c r="Z94" s="38"/>
      <c r="AA94" s="38"/>
      <c r="AB94" s="155"/>
      <c r="AC94" s="84">
        <v>1351</v>
      </c>
      <c r="AD94" s="85">
        <v>263</v>
      </c>
      <c r="AE94" s="156">
        <f>AD94/AC94</f>
        <v>0.19467061435973354</v>
      </c>
    </row>
    <row r="95" spans="17:31" ht="10.050000000000001" customHeight="1" x14ac:dyDescent="0.2">
      <c r="R95" s="157">
        <f t="shared" ref="R95:X95" si="33">SUM(R90:R94)</f>
        <v>70070</v>
      </c>
      <c r="S95" s="157">
        <f t="shared" si="33"/>
        <v>39538</v>
      </c>
      <c r="T95" s="157">
        <f t="shared" si="33"/>
        <v>2358</v>
      </c>
      <c r="U95" s="157">
        <f t="shared" si="33"/>
        <v>40048</v>
      </c>
      <c r="V95" s="157">
        <f t="shared" si="33"/>
        <v>31537</v>
      </c>
      <c r="W95" s="160">
        <f t="shared" si="33"/>
        <v>19417</v>
      </c>
      <c r="X95" s="160">
        <f t="shared" si="33"/>
        <v>10097</v>
      </c>
      <c r="Y95" s="168">
        <f t="shared" si="32"/>
        <v>0.52000824020188496</v>
      </c>
      <c r="Z95" s="157"/>
      <c r="AA95" s="157"/>
      <c r="AB95" s="169"/>
      <c r="AC95" s="160">
        <f>SUM(AC90:AC94)</f>
        <v>4581</v>
      </c>
      <c r="AD95" s="160">
        <f>SUM(AD90:AD94)</f>
        <v>1051</v>
      </c>
      <c r="AE95" s="168">
        <f>AD95/AC95</f>
        <v>0.22942588954376775</v>
      </c>
    </row>
    <row r="96" spans="17:31" ht="10.050000000000001" customHeight="1" x14ac:dyDescent="0.2"/>
    <row r="97" spans="17:31" ht="10.050000000000001" customHeight="1" thickBot="1" x14ac:dyDescent="0.25">
      <c r="Y97" s="177">
        <v>45944</v>
      </c>
    </row>
    <row r="98" spans="17:31" ht="10.050000000000001" customHeight="1" thickBot="1" x14ac:dyDescent="0.25">
      <c r="Q98" s="208"/>
      <c r="R98" s="142"/>
      <c r="S98" s="143"/>
      <c r="T98" s="143"/>
      <c r="U98" s="220" t="s">
        <v>1</v>
      </c>
      <c r="V98" s="144" t="s">
        <v>67</v>
      </c>
      <c r="W98" s="224" t="s">
        <v>2</v>
      </c>
      <c r="X98" s="225"/>
      <c r="Y98" s="226"/>
      <c r="Z98" s="233" t="s">
        <v>3</v>
      </c>
      <c r="AA98" s="234"/>
      <c r="AB98" s="235"/>
      <c r="AC98" s="224" t="s">
        <v>4</v>
      </c>
      <c r="AD98" s="225"/>
      <c r="AE98" s="226"/>
    </row>
    <row r="99" spans="17:31" ht="10.050000000000001" customHeight="1" x14ac:dyDescent="0.2">
      <c r="Q99" s="147"/>
      <c r="R99" s="145" t="s">
        <v>5</v>
      </c>
      <c r="S99" s="146" t="s">
        <v>6</v>
      </c>
      <c r="T99" s="146" t="s">
        <v>66</v>
      </c>
      <c r="U99" s="147" t="s">
        <v>7</v>
      </c>
      <c r="V99" s="148" t="s">
        <v>7</v>
      </c>
      <c r="W99" s="149" t="s">
        <v>7</v>
      </c>
      <c r="X99" s="150" t="s">
        <v>8</v>
      </c>
      <c r="Y99" s="151" t="s">
        <v>9</v>
      </c>
      <c r="Z99" s="147" t="s">
        <v>7</v>
      </c>
      <c r="AA99" s="152" t="s">
        <v>8</v>
      </c>
      <c r="AB99" s="153"/>
      <c r="AC99" s="149" t="s">
        <v>7</v>
      </c>
      <c r="AD99" s="150" t="s">
        <v>8</v>
      </c>
      <c r="AE99" s="151" t="s">
        <v>9</v>
      </c>
    </row>
    <row r="100" spans="17:31" ht="10.050000000000001" customHeight="1" x14ac:dyDescent="0.2">
      <c r="Q100" s="148" t="s">
        <v>10</v>
      </c>
      <c r="R100" s="32">
        <v>40105</v>
      </c>
      <c r="S100" s="33">
        <v>15170</v>
      </c>
      <c r="T100" s="33"/>
      <c r="U100" s="33"/>
      <c r="V100" s="35">
        <v>10940</v>
      </c>
      <c r="W100" s="81"/>
      <c r="X100" s="82"/>
      <c r="Y100" s="154"/>
      <c r="Z100" s="34"/>
      <c r="AA100" s="34"/>
      <c r="AB100" s="155"/>
      <c r="AC100" s="81"/>
      <c r="AD100" s="82"/>
      <c r="AE100" s="154"/>
    </row>
    <row r="101" spans="17:31" ht="10.050000000000001" customHeight="1" x14ac:dyDescent="0.2">
      <c r="Q101" s="148" t="s">
        <v>11</v>
      </c>
      <c r="R101" s="32">
        <v>9320</v>
      </c>
      <c r="S101" s="33">
        <v>6300</v>
      </c>
      <c r="T101" s="33"/>
      <c r="U101" s="33"/>
      <c r="V101" s="35">
        <v>7226</v>
      </c>
      <c r="W101" s="81">
        <v>3203</v>
      </c>
      <c r="X101" s="82">
        <v>1655</v>
      </c>
      <c r="Y101" s="154">
        <f t="shared" ref="Y101:Y105" si="34">X101/W101</f>
        <v>0.51670309085232591</v>
      </c>
      <c r="Z101" s="34"/>
      <c r="AA101" s="34"/>
      <c r="AB101" s="155"/>
      <c r="AC101" s="81">
        <v>494</v>
      </c>
      <c r="AD101" s="82">
        <v>156</v>
      </c>
      <c r="AE101" s="154">
        <f>AD101/AC101</f>
        <v>0.31578947368421051</v>
      </c>
    </row>
    <row r="102" spans="17:31" ht="10.050000000000001" customHeight="1" x14ac:dyDescent="0.2">
      <c r="Q102" s="148" t="s">
        <v>12</v>
      </c>
      <c r="R102" s="32">
        <v>3710</v>
      </c>
      <c r="S102" s="33">
        <v>2210</v>
      </c>
      <c r="T102" s="33"/>
      <c r="U102" s="33"/>
      <c r="V102" s="35">
        <v>2738</v>
      </c>
      <c r="W102" s="81">
        <v>2635</v>
      </c>
      <c r="X102" s="82">
        <v>1232</v>
      </c>
      <c r="Y102" s="154">
        <f t="shared" si="34"/>
        <v>0.46755218216318783</v>
      </c>
      <c r="Z102" s="34"/>
      <c r="AA102" s="34"/>
      <c r="AB102" s="155"/>
      <c r="AC102" s="81">
        <v>1021</v>
      </c>
      <c r="AD102" s="82">
        <v>309</v>
      </c>
      <c r="AE102" s="154">
        <f>AD102/AC102</f>
        <v>0.30264446620959845</v>
      </c>
    </row>
    <row r="103" spans="17:31" ht="10.050000000000001" customHeight="1" x14ac:dyDescent="0.2">
      <c r="Q103" s="148" t="s">
        <v>13</v>
      </c>
      <c r="R103" s="32">
        <v>10456</v>
      </c>
      <c r="S103" s="33">
        <v>9912</v>
      </c>
      <c r="T103" s="33"/>
      <c r="U103" s="33"/>
      <c r="V103" s="35">
        <v>7828</v>
      </c>
      <c r="W103" s="81">
        <v>10053</v>
      </c>
      <c r="X103" s="82">
        <v>3672</v>
      </c>
      <c r="Y103" s="154">
        <f t="shared" si="34"/>
        <v>0.36526410026857653</v>
      </c>
      <c r="Z103" s="34"/>
      <c r="AA103" s="34"/>
      <c r="AB103" s="155"/>
      <c r="AC103" s="81">
        <v>2160</v>
      </c>
      <c r="AD103" s="82">
        <v>482</v>
      </c>
      <c r="AE103" s="154">
        <f>AD103/AC103</f>
        <v>0.22314814814814815</v>
      </c>
    </row>
    <row r="104" spans="17:31" ht="10.050000000000001" customHeight="1" thickBot="1" x14ac:dyDescent="0.25">
      <c r="Q104" s="209" t="s">
        <v>0</v>
      </c>
      <c r="R104" s="36">
        <v>6479</v>
      </c>
      <c r="S104" s="37">
        <v>6436</v>
      </c>
      <c r="T104" s="37"/>
      <c r="U104" s="37"/>
      <c r="V104" s="83">
        <v>3136</v>
      </c>
      <c r="W104" s="84">
        <v>6423</v>
      </c>
      <c r="X104" s="85">
        <v>1755</v>
      </c>
      <c r="Y104" s="154">
        <f t="shared" si="34"/>
        <v>0.27323680523120036</v>
      </c>
      <c r="Z104" s="38"/>
      <c r="AA104" s="38"/>
      <c r="AB104" s="155"/>
      <c r="AC104" s="84">
        <v>1690</v>
      </c>
      <c r="AD104" s="85">
        <v>284</v>
      </c>
      <c r="AE104" s="156">
        <f>AD104/AC104</f>
        <v>0.1680473372781065</v>
      </c>
    </row>
    <row r="105" spans="17:31" ht="10.050000000000001" customHeight="1" x14ac:dyDescent="0.2">
      <c r="Q105" s="162"/>
      <c r="R105" s="39">
        <f t="shared" ref="R105:X105" si="35">SUM(R100:R104)</f>
        <v>70070</v>
      </c>
      <c r="S105" s="39">
        <f t="shared" si="35"/>
        <v>40028</v>
      </c>
      <c r="T105" s="39">
        <f t="shared" si="35"/>
        <v>0</v>
      </c>
      <c r="U105" s="39"/>
      <c r="V105" s="157">
        <f t="shared" si="35"/>
        <v>31868</v>
      </c>
      <c r="W105" s="160">
        <f t="shared" si="35"/>
        <v>22314</v>
      </c>
      <c r="X105" s="160">
        <f t="shared" si="35"/>
        <v>8314</v>
      </c>
      <c r="Y105" s="161">
        <f t="shared" si="34"/>
        <v>0.37259119835081117</v>
      </c>
      <c r="Z105" s="157"/>
      <c r="AA105" s="157"/>
      <c r="AB105" s="159"/>
      <c r="AC105" s="160">
        <f>SUM(AC100:AC104)</f>
        <v>5365</v>
      </c>
      <c r="AD105" s="160">
        <f>SUM(AD100:AD104)</f>
        <v>1231</v>
      </c>
      <c r="AE105" s="161">
        <f>AD105/AC105</f>
        <v>0.22945013979496739</v>
      </c>
    </row>
    <row r="106" spans="17:31" ht="10.050000000000001" customHeight="1" thickBot="1" x14ac:dyDescent="0.25">
      <c r="Q106" s="210"/>
      <c r="R106" s="40"/>
      <c r="S106" s="40"/>
      <c r="T106" s="40"/>
      <c r="U106" s="162"/>
      <c r="V106" s="31"/>
      <c r="W106" s="162"/>
      <c r="X106" s="162"/>
      <c r="Y106" s="162"/>
      <c r="Z106" s="162"/>
      <c r="AA106" s="162"/>
      <c r="AB106" s="162"/>
      <c r="AC106" s="162"/>
      <c r="AD106" s="162"/>
      <c r="AE106" s="162"/>
    </row>
    <row r="107" spans="17:31" ht="10.050000000000001" customHeight="1" thickBot="1" x14ac:dyDescent="0.25">
      <c r="Q107" s="144"/>
      <c r="R107" s="41"/>
      <c r="S107" s="42"/>
      <c r="T107" s="42"/>
      <c r="U107" s="221" t="s">
        <v>1</v>
      </c>
      <c r="V107" s="144" t="s">
        <v>67</v>
      </c>
      <c r="W107" s="227" t="s">
        <v>2</v>
      </c>
      <c r="X107" s="228"/>
      <c r="Y107" s="229"/>
      <c r="Z107" s="230" t="s">
        <v>3</v>
      </c>
      <c r="AA107" s="231"/>
      <c r="AB107" s="232"/>
      <c r="AC107" s="227" t="s">
        <v>4</v>
      </c>
      <c r="AD107" s="228"/>
      <c r="AE107" s="229"/>
    </row>
    <row r="108" spans="17:31" ht="10.050000000000001" customHeight="1" x14ac:dyDescent="0.2">
      <c r="Q108" s="148"/>
      <c r="R108" s="145" t="s">
        <v>5</v>
      </c>
      <c r="S108" s="42" t="s">
        <v>6</v>
      </c>
      <c r="T108" s="56" t="s">
        <v>66</v>
      </c>
      <c r="U108" s="148" t="s">
        <v>7</v>
      </c>
      <c r="V108" s="148" t="s">
        <v>7</v>
      </c>
      <c r="W108" s="163" t="s">
        <v>7</v>
      </c>
      <c r="X108" s="164" t="s">
        <v>8</v>
      </c>
      <c r="Y108" s="165" t="s">
        <v>9</v>
      </c>
      <c r="Z108" s="148" t="s">
        <v>7</v>
      </c>
      <c r="AA108" s="166" t="s">
        <v>8</v>
      </c>
      <c r="AB108" s="167" t="s">
        <v>9</v>
      </c>
      <c r="AC108" s="163" t="s">
        <v>7</v>
      </c>
      <c r="AD108" s="164" t="s">
        <v>8</v>
      </c>
      <c r="AE108" s="165" t="s">
        <v>9</v>
      </c>
    </row>
    <row r="109" spans="17:31" ht="10.050000000000001" customHeight="1" x14ac:dyDescent="0.2">
      <c r="Q109" s="148" t="s">
        <v>10</v>
      </c>
      <c r="R109" s="32">
        <v>40105</v>
      </c>
      <c r="S109" s="43">
        <v>15170</v>
      </c>
      <c r="T109" s="43"/>
      <c r="U109" s="34"/>
      <c r="V109" s="35">
        <v>10940</v>
      </c>
      <c r="W109" s="81"/>
      <c r="X109" s="82"/>
      <c r="Y109" s="154"/>
      <c r="Z109" s="34"/>
      <c r="AA109" s="34"/>
      <c r="AB109" s="155"/>
      <c r="AC109" s="81"/>
      <c r="AD109" s="82"/>
      <c r="AE109" s="154"/>
    </row>
    <row r="110" spans="17:31" ht="10.050000000000001" customHeight="1" x14ac:dyDescent="0.2">
      <c r="Q110" s="148" t="s">
        <v>11</v>
      </c>
      <c r="R110" s="32">
        <v>9320</v>
      </c>
      <c r="S110" s="43">
        <v>6300</v>
      </c>
      <c r="T110" s="43"/>
      <c r="U110" s="34"/>
      <c r="V110" s="35">
        <v>7226</v>
      </c>
      <c r="W110" s="81">
        <v>3203</v>
      </c>
      <c r="X110" s="82">
        <v>1655</v>
      </c>
      <c r="Y110" s="154">
        <f t="shared" ref="Y110:Y114" si="36">X110/W110</f>
        <v>0.51670309085232591</v>
      </c>
      <c r="Z110" s="34"/>
      <c r="AA110" s="34"/>
      <c r="AB110" s="155"/>
      <c r="AC110" s="81">
        <v>478</v>
      </c>
      <c r="AD110" s="82">
        <v>153</v>
      </c>
      <c r="AE110" s="154">
        <f>AD110/AC110</f>
        <v>0.32008368200836818</v>
      </c>
    </row>
    <row r="111" spans="17:31" ht="10.050000000000001" customHeight="1" x14ac:dyDescent="0.2">
      <c r="Q111" s="148" t="s">
        <v>12</v>
      </c>
      <c r="R111" s="32">
        <v>3710</v>
      </c>
      <c r="S111" s="43">
        <v>2210</v>
      </c>
      <c r="T111" s="43"/>
      <c r="U111" s="34"/>
      <c r="V111" s="35">
        <v>2738</v>
      </c>
      <c r="W111" s="81">
        <v>2635</v>
      </c>
      <c r="X111" s="82">
        <v>1232</v>
      </c>
      <c r="Y111" s="154">
        <f t="shared" si="36"/>
        <v>0.46755218216318783</v>
      </c>
      <c r="Z111" s="34"/>
      <c r="AA111" s="34"/>
      <c r="AB111" s="155"/>
      <c r="AC111" s="81">
        <v>918</v>
      </c>
      <c r="AD111" s="82">
        <v>285</v>
      </c>
      <c r="AE111" s="154">
        <f>AD111/AC111</f>
        <v>0.31045751633986929</v>
      </c>
    </row>
    <row r="112" spans="17:31" ht="10.050000000000001" customHeight="1" x14ac:dyDescent="0.2">
      <c r="Q112" s="148" t="s">
        <v>13</v>
      </c>
      <c r="R112" s="32">
        <v>10456</v>
      </c>
      <c r="S112" s="43">
        <v>9912</v>
      </c>
      <c r="T112" s="43"/>
      <c r="U112" s="34"/>
      <c r="V112" s="35">
        <v>7828</v>
      </c>
      <c r="W112" s="81">
        <v>10053</v>
      </c>
      <c r="X112" s="82">
        <v>3672</v>
      </c>
      <c r="Y112" s="154">
        <f t="shared" si="36"/>
        <v>0.36526410026857653</v>
      </c>
      <c r="Z112" s="34"/>
      <c r="AA112" s="34"/>
      <c r="AB112" s="155"/>
      <c r="AC112" s="81">
        <v>1944</v>
      </c>
      <c r="AD112" s="82">
        <v>454</v>
      </c>
      <c r="AE112" s="154">
        <f>AD112/AC112</f>
        <v>0.23353909465020575</v>
      </c>
    </row>
    <row r="113" spans="17:31" ht="10.050000000000001" customHeight="1" thickBot="1" x14ac:dyDescent="0.25">
      <c r="Q113" s="209" t="s">
        <v>0</v>
      </c>
      <c r="R113" s="36">
        <v>6479</v>
      </c>
      <c r="S113" s="44">
        <v>6436</v>
      </c>
      <c r="T113" s="44"/>
      <c r="U113" s="38"/>
      <c r="V113" s="83">
        <v>3136</v>
      </c>
      <c r="W113" s="84">
        <v>6423</v>
      </c>
      <c r="X113" s="85">
        <v>1755</v>
      </c>
      <c r="Y113" s="154">
        <f t="shared" si="36"/>
        <v>0.27323680523120036</v>
      </c>
      <c r="Z113" s="38"/>
      <c r="AA113" s="38"/>
      <c r="AB113" s="155"/>
      <c r="AC113" s="84">
        <v>1487</v>
      </c>
      <c r="AD113" s="85">
        <v>265</v>
      </c>
      <c r="AE113" s="156">
        <f>AD113/AC113</f>
        <v>0.17821116341627438</v>
      </c>
    </row>
    <row r="114" spans="17:31" ht="10.050000000000001" customHeight="1" x14ac:dyDescent="0.2">
      <c r="R114" s="157">
        <f t="shared" ref="R114:X114" si="37">SUM(R109:R113)</f>
        <v>70070</v>
      </c>
      <c r="S114" s="157">
        <f t="shared" si="37"/>
        <v>40028</v>
      </c>
      <c r="T114" s="157">
        <f t="shared" si="37"/>
        <v>0</v>
      </c>
      <c r="U114" s="157"/>
      <c r="V114" s="157">
        <f t="shared" si="37"/>
        <v>31868</v>
      </c>
      <c r="W114" s="160">
        <f t="shared" si="37"/>
        <v>22314</v>
      </c>
      <c r="X114" s="160">
        <f t="shared" si="37"/>
        <v>8314</v>
      </c>
      <c r="Y114" s="168">
        <f t="shared" si="36"/>
        <v>0.37259119835081117</v>
      </c>
      <c r="Z114" s="157"/>
      <c r="AA114" s="157"/>
      <c r="AB114" s="169"/>
      <c r="AC114" s="160">
        <f>SUM(AC109:AC113)</f>
        <v>4827</v>
      </c>
      <c r="AD114" s="160">
        <f>SUM(AD109:AD113)</f>
        <v>1157</v>
      </c>
      <c r="AE114" s="168">
        <f>AD114/AC114</f>
        <v>0.23969339134037704</v>
      </c>
    </row>
    <row r="115" spans="17:31" ht="10.050000000000001" customHeight="1" x14ac:dyDescent="0.2"/>
    <row r="116" spans="17:31" ht="10.050000000000001" customHeight="1" thickBot="1" x14ac:dyDescent="0.25">
      <c r="Y116" s="177">
        <v>45943</v>
      </c>
    </row>
    <row r="117" spans="17:31" ht="10.050000000000001" customHeight="1" thickBot="1" x14ac:dyDescent="0.25">
      <c r="Q117" s="208"/>
      <c r="R117" s="142"/>
      <c r="S117" s="143"/>
      <c r="T117" s="143"/>
      <c r="U117" s="220" t="s">
        <v>1</v>
      </c>
      <c r="V117" s="144" t="s">
        <v>67</v>
      </c>
      <c r="W117" s="224" t="s">
        <v>2</v>
      </c>
      <c r="X117" s="225"/>
      <c r="Y117" s="226"/>
      <c r="Z117" s="233" t="s">
        <v>3</v>
      </c>
      <c r="AA117" s="234"/>
      <c r="AB117" s="235"/>
      <c r="AC117" s="224" t="s">
        <v>4</v>
      </c>
      <c r="AD117" s="225"/>
      <c r="AE117" s="226"/>
    </row>
    <row r="118" spans="17:31" ht="10.050000000000001" customHeight="1" x14ac:dyDescent="0.2">
      <c r="Q118" s="147"/>
      <c r="R118" s="145" t="s">
        <v>5</v>
      </c>
      <c r="S118" s="146" t="s">
        <v>6</v>
      </c>
      <c r="T118" s="146" t="s">
        <v>66</v>
      </c>
      <c r="U118" s="147" t="s">
        <v>7</v>
      </c>
      <c r="V118" s="148" t="s">
        <v>7</v>
      </c>
      <c r="W118" s="149" t="s">
        <v>7</v>
      </c>
      <c r="X118" s="150" t="s">
        <v>8</v>
      </c>
      <c r="Y118" s="151" t="s">
        <v>9</v>
      </c>
      <c r="Z118" s="147" t="s">
        <v>7</v>
      </c>
      <c r="AA118" s="152" t="s">
        <v>8</v>
      </c>
      <c r="AB118" s="153"/>
      <c r="AC118" s="149" t="s">
        <v>7</v>
      </c>
      <c r="AD118" s="150" t="s">
        <v>8</v>
      </c>
      <c r="AE118" s="151" t="s">
        <v>9</v>
      </c>
    </row>
    <row r="119" spans="17:31" ht="10.050000000000001" customHeight="1" x14ac:dyDescent="0.2">
      <c r="Q119" s="148" t="s">
        <v>10</v>
      </c>
      <c r="R119" s="32">
        <v>40105</v>
      </c>
      <c r="S119" s="33">
        <v>15377</v>
      </c>
      <c r="T119" s="33"/>
      <c r="U119" s="33"/>
      <c r="V119" s="35">
        <v>11178</v>
      </c>
      <c r="W119" s="81"/>
      <c r="X119" s="82"/>
      <c r="Y119" s="154"/>
      <c r="Z119" s="34"/>
      <c r="AA119" s="34"/>
      <c r="AB119" s="155"/>
      <c r="AC119" s="81"/>
      <c r="AD119" s="82"/>
      <c r="AE119" s="154"/>
    </row>
    <row r="120" spans="17:31" ht="10.050000000000001" customHeight="1" x14ac:dyDescent="0.2">
      <c r="Q120" s="148" t="s">
        <v>11</v>
      </c>
      <c r="R120" s="32">
        <v>9320</v>
      </c>
      <c r="S120" s="33">
        <v>6399</v>
      </c>
      <c r="T120" s="33"/>
      <c r="U120" s="33"/>
      <c r="V120" s="35">
        <v>7264</v>
      </c>
      <c r="W120" s="81">
        <v>7801</v>
      </c>
      <c r="X120" s="82">
        <v>3081</v>
      </c>
      <c r="Y120" s="154">
        <f t="shared" ref="Y120:Y124" si="38">X120/W120</f>
        <v>0.39494936546596593</v>
      </c>
      <c r="Z120" s="34"/>
      <c r="AA120" s="34"/>
      <c r="AB120" s="155"/>
      <c r="AC120" s="81">
        <v>271</v>
      </c>
      <c r="AD120" s="82">
        <v>55</v>
      </c>
      <c r="AE120" s="154">
        <f>AD120/AC120</f>
        <v>0.2029520295202952</v>
      </c>
    </row>
    <row r="121" spans="17:31" ht="10.050000000000001" customHeight="1" x14ac:dyDescent="0.2">
      <c r="Q121" s="148" t="s">
        <v>12</v>
      </c>
      <c r="R121" s="32">
        <v>3710</v>
      </c>
      <c r="S121" s="33">
        <v>2267</v>
      </c>
      <c r="T121" s="33"/>
      <c r="U121" s="33"/>
      <c r="V121" s="35">
        <v>2794</v>
      </c>
      <c r="W121" s="81">
        <v>2808</v>
      </c>
      <c r="X121" s="82">
        <v>997</v>
      </c>
      <c r="Y121" s="154">
        <f t="shared" si="38"/>
        <v>0.35505698005698005</v>
      </c>
      <c r="Z121" s="34"/>
      <c r="AA121" s="34"/>
      <c r="AB121" s="155"/>
      <c r="AC121" s="81">
        <v>1007</v>
      </c>
      <c r="AD121" s="82">
        <v>295</v>
      </c>
      <c r="AE121" s="154">
        <f>AD121/AC121</f>
        <v>0.2929493545183714</v>
      </c>
    </row>
    <row r="122" spans="17:31" ht="10.050000000000001" customHeight="1" x14ac:dyDescent="0.2">
      <c r="Q122" s="148" t="s">
        <v>13</v>
      </c>
      <c r="R122" s="32">
        <v>10456</v>
      </c>
      <c r="S122" s="33">
        <v>9943</v>
      </c>
      <c r="T122" s="33"/>
      <c r="U122" s="33"/>
      <c r="V122" s="35">
        <v>7848</v>
      </c>
      <c r="W122" s="81">
        <v>3838</v>
      </c>
      <c r="X122" s="82">
        <v>1174</v>
      </c>
      <c r="Y122" s="154">
        <f t="shared" si="38"/>
        <v>0.3058884835852006</v>
      </c>
      <c r="Z122" s="34"/>
      <c r="AA122" s="34"/>
      <c r="AB122" s="155"/>
      <c r="AC122" s="81">
        <v>2566</v>
      </c>
      <c r="AD122" s="82">
        <v>565</v>
      </c>
      <c r="AE122" s="154">
        <f>AD122/AC122</f>
        <v>0.22018706157443491</v>
      </c>
    </row>
    <row r="123" spans="17:31" ht="10.050000000000001" customHeight="1" thickBot="1" x14ac:dyDescent="0.25">
      <c r="Q123" s="209" t="s">
        <v>0</v>
      </c>
      <c r="R123" s="36">
        <v>6479</v>
      </c>
      <c r="S123" s="37">
        <v>6440</v>
      </c>
      <c r="T123" s="37"/>
      <c r="U123" s="37"/>
      <c r="V123" s="83">
        <v>3141</v>
      </c>
      <c r="W123" s="84">
        <v>2488</v>
      </c>
      <c r="X123" s="85">
        <v>590</v>
      </c>
      <c r="Y123" s="154">
        <f t="shared" si="38"/>
        <v>0.23713826366559485</v>
      </c>
      <c r="Z123" s="38"/>
      <c r="AA123" s="38"/>
      <c r="AB123" s="155"/>
      <c r="AC123" s="84">
        <v>1160</v>
      </c>
      <c r="AD123" s="85">
        <v>239</v>
      </c>
      <c r="AE123" s="156">
        <f>AD123/AC123</f>
        <v>0.20603448275862069</v>
      </c>
    </row>
    <row r="124" spans="17:31" ht="10.050000000000001" customHeight="1" x14ac:dyDescent="0.2">
      <c r="Q124" s="162"/>
      <c r="R124" s="39">
        <f t="shared" ref="R124:X124" si="39">SUM(R119:R123)</f>
        <v>70070</v>
      </c>
      <c r="S124" s="39">
        <f t="shared" si="39"/>
        <v>40426</v>
      </c>
      <c r="T124" s="39">
        <f t="shared" si="39"/>
        <v>0</v>
      </c>
      <c r="U124" s="39"/>
      <c r="V124" s="157">
        <f t="shared" si="39"/>
        <v>32225</v>
      </c>
      <c r="W124" s="160">
        <f t="shared" si="39"/>
        <v>16935</v>
      </c>
      <c r="X124" s="160">
        <f t="shared" si="39"/>
        <v>5842</v>
      </c>
      <c r="Y124" s="161">
        <f t="shared" si="38"/>
        <v>0.34496604664895186</v>
      </c>
      <c r="Z124" s="157"/>
      <c r="AA124" s="157"/>
      <c r="AB124" s="159"/>
      <c r="AC124" s="160">
        <f>SUM(AC119:AC123)</f>
        <v>5004</v>
      </c>
      <c r="AD124" s="160">
        <f>SUM(AD119:AD123)</f>
        <v>1154</v>
      </c>
      <c r="AE124" s="161">
        <f>AD124/AC124</f>
        <v>0.23061550759392485</v>
      </c>
    </row>
    <row r="125" spans="17:31" ht="10.050000000000001" customHeight="1" thickBot="1" x14ac:dyDescent="0.25">
      <c r="Q125" s="210"/>
      <c r="R125" s="40"/>
      <c r="S125" s="40"/>
      <c r="T125" s="40"/>
      <c r="U125" s="162"/>
      <c r="V125" s="31"/>
      <c r="W125" s="162"/>
      <c r="X125" s="162"/>
      <c r="Y125" s="162"/>
      <c r="Z125" s="162"/>
      <c r="AA125" s="162"/>
      <c r="AB125" s="162"/>
      <c r="AC125" s="162"/>
      <c r="AD125" s="162"/>
      <c r="AE125" s="162"/>
    </row>
    <row r="126" spans="17:31" ht="10.050000000000001" customHeight="1" thickBot="1" x14ac:dyDescent="0.25">
      <c r="Q126" s="144"/>
      <c r="R126" s="41"/>
      <c r="S126" s="42"/>
      <c r="T126" s="42"/>
      <c r="U126" s="221" t="s">
        <v>1</v>
      </c>
      <c r="V126" s="144" t="s">
        <v>67</v>
      </c>
      <c r="W126" s="227" t="s">
        <v>2</v>
      </c>
      <c r="X126" s="228"/>
      <c r="Y126" s="229"/>
      <c r="Z126" s="230" t="s">
        <v>3</v>
      </c>
      <c r="AA126" s="231"/>
      <c r="AB126" s="232"/>
      <c r="AC126" s="227" t="s">
        <v>4</v>
      </c>
      <c r="AD126" s="228"/>
      <c r="AE126" s="229"/>
    </row>
    <row r="127" spans="17:31" ht="10.050000000000001" customHeight="1" x14ac:dyDescent="0.2">
      <c r="Q127" s="148"/>
      <c r="R127" s="145" t="s">
        <v>5</v>
      </c>
      <c r="S127" s="42" t="s">
        <v>6</v>
      </c>
      <c r="T127" s="56" t="s">
        <v>66</v>
      </c>
      <c r="U127" s="148" t="s">
        <v>7</v>
      </c>
      <c r="V127" s="148" t="s">
        <v>7</v>
      </c>
      <c r="W127" s="163" t="s">
        <v>7</v>
      </c>
      <c r="X127" s="164" t="s">
        <v>8</v>
      </c>
      <c r="Y127" s="165" t="s">
        <v>9</v>
      </c>
      <c r="Z127" s="148" t="s">
        <v>7</v>
      </c>
      <c r="AA127" s="166" t="s">
        <v>8</v>
      </c>
      <c r="AB127" s="167" t="s">
        <v>9</v>
      </c>
      <c r="AC127" s="163" t="s">
        <v>7</v>
      </c>
      <c r="AD127" s="164" t="s">
        <v>8</v>
      </c>
      <c r="AE127" s="165" t="s">
        <v>9</v>
      </c>
    </row>
    <row r="128" spans="17:31" ht="10.050000000000001" customHeight="1" x14ac:dyDescent="0.2">
      <c r="Q128" s="148" t="s">
        <v>10</v>
      </c>
      <c r="R128" s="32">
        <v>40105</v>
      </c>
      <c r="S128" s="43">
        <v>15377</v>
      </c>
      <c r="T128" s="43"/>
      <c r="U128" s="34"/>
      <c r="V128" s="35">
        <v>11178</v>
      </c>
      <c r="W128" s="81"/>
      <c r="X128" s="82"/>
      <c r="Y128" s="154"/>
      <c r="Z128" s="34"/>
      <c r="AA128" s="34"/>
      <c r="AB128" s="155"/>
      <c r="AC128" s="81"/>
      <c r="AD128" s="82"/>
      <c r="AE128" s="154"/>
    </row>
    <row r="129" spans="17:31" ht="10.050000000000001" customHeight="1" x14ac:dyDescent="0.2">
      <c r="Q129" s="148" t="s">
        <v>11</v>
      </c>
      <c r="R129" s="32">
        <v>9320</v>
      </c>
      <c r="S129" s="43">
        <v>6399</v>
      </c>
      <c r="T129" s="43"/>
      <c r="U129" s="34"/>
      <c r="V129" s="35">
        <v>7264</v>
      </c>
      <c r="W129" s="81">
        <v>4617</v>
      </c>
      <c r="X129" s="82">
        <v>3081</v>
      </c>
      <c r="Y129" s="154">
        <f t="shared" ref="Y129:Y133" si="40">X129/W129</f>
        <v>0.66731643924626383</v>
      </c>
      <c r="Z129" s="34"/>
      <c r="AA129" s="34"/>
      <c r="AB129" s="155"/>
      <c r="AC129" s="81">
        <v>255</v>
      </c>
      <c r="AD129" s="82">
        <v>54</v>
      </c>
      <c r="AE129" s="154">
        <f>AD129/AC129</f>
        <v>0.21176470588235294</v>
      </c>
    </row>
    <row r="130" spans="17:31" ht="10.050000000000001" customHeight="1" x14ac:dyDescent="0.2">
      <c r="Q130" s="148" t="s">
        <v>12</v>
      </c>
      <c r="R130" s="32">
        <v>3710</v>
      </c>
      <c r="S130" s="43">
        <v>2267</v>
      </c>
      <c r="T130" s="43"/>
      <c r="U130" s="34"/>
      <c r="V130" s="35">
        <v>2794</v>
      </c>
      <c r="W130" s="81">
        <v>1628</v>
      </c>
      <c r="X130" s="82">
        <v>997</v>
      </c>
      <c r="Y130" s="154">
        <f t="shared" si="40"/>
        <v>0.61240786240786238</v>
      </c>
      <c r="Z130" s="34"/>
      <c r="AA130" s="34"/>
      <c r="AB130" s="155"/>
      <c r="AC130" s="81">
        <v>910</v>
      </c>
      <c r="AD130" s="82">
        <v>267</v>
      </c>
      <c r="AE130" s="154">
        <f>AD130/AC130</f>
        <v>0.29340659340659342</v>
      </c>
    </row>
    <row r="131" spans="17:31" ht="10.050000000000001" customHeight="1" x14ac:dyDescent="0.2">
      <c r="Q131" s="148" t="s">
        <v>13</v>
      </c>
      <c r="R131" s="32">
        <v>10456</v>
      </c>
      <c r="S131" s="43">
        <v>9943</v>
      </c>
      <c r="T131" s="43"/>
      <c r="U131" s="34"/>
      <c r="V131" s="35">
        <v>7848</v>
      </c>
      <c r="W131" s="81">
        <v>2248</v>
      </c>
      <c r="X131" s="82">
        <v>1174</v>
      </c>
      <c r="Y131" s="154">
        <f t="shared" si="40"/>
        <v>0.52224199288256223</v>
      </c>
      <c r="Z131" s="34"/>
      <c r="AA131" s="34"/>
      <c r="AB131" s="155"/>
      <c r="AC131" s="81">
        <v>2349</v>
      </c>
      <c r="AD131" s="82">
        <v>529</v>
      </c>
      <c r="AE131" s="154">
        <f>AD131/AC131</f>
        <v>0.22520221370796084</v>
      </c>
    </row>
    <row r="132" spans="17:31" ht="10.050000000000001" customHeight="1" thickBot="1" x14ac:dyDescent="0.25">
      <c r="Q132" s="209" t="s">
        <v>0</v>
      </c>
      <c r="R132" s="36">
        <v>6479</v>
      </c>
      <c r="S132" s="44">
        <v>6440</v>
      </c>
      <c r="T132" s="44"/>
      <c r="U132" s="38"/>
      <c r="V132" s="83">
        <v>3141</v>
      </c>
      <c r="W132" s="84">
        <v>1462</v>
      </c>
      <c r="X132" s="85">
        <v>590</v>
      </c>
      <c r="Y132" s="154">
        <f t="shared" si="40"/>
        <v>0.40355677154582764</v>
      </c>
      <c r="Z132" s="38"/>
      <c r="AA132" s="38"/>
      <c r="AB132" s="155"/>
      <c r="AC132" s="84">
        <v>1063</v>
      </c>
      <c r="AD132" s="85">
        <v>219</v>
      </c>
      <c r="AE132" s="156">
        <f>AD132/AC132</f>
        <v>0.20602069614299154</v>
      </c>
    </row>
    <row r="133" spans="17:31" ht="10.050000000000001" customHeight="1" x14ac:dyDescent="0.2">
      <c r="R133" s="157">
        <f t="shared" ref="R133:X133" si="41">SUM(R128:R132)</f>
        <v>70070</v>
      </c>
      <c r="S133" s="157">
        <f t="shared" si="41"/>
        <v>40426</v>
      </c>
      <c r="T133" s="157">
        <f t="shared" si="41"/>
        <v>0</v>
      </c>
      <c r="U133" s="157"/>
      <c r="V133" s="157">
        <f t="shared" si="41"/>
        <v>32225</v>
      </c>
      <c r="W133" s="160">
        <f t="shared" si="41"/>
        <v>9955</v>
      </c>
      <c r="X133" s="160">
        <f t="shared" si="41"/>
        <v>5842</v>
      </c>
      <c r="Y133" s="168">
        <f t="shared" si="40"/>
        <v>0.58684078352586644</v>
      </c>
      <c r="Z133" s="157"/>
      <c r="AA133" s="157"/>
      <c r="AB133" s="169"/>
      <c r="AC133" s="160">
        <f>SUM(AC128:AC132)</f>
        <v>4577</v>
      </c>
      <c r="AD133" s="160">
        <f>SUM(AD128:AD132)</f>
        <v>1069</v>
      </c>
      <c r="AE133" s="168">
        <f>AD133/AC133</f>
        <v>0.23355909984706139</v>
      </c>
    </row>
    <row r="134" spans="17:31" ht="10.050000000000001" customHeight="1" x14ac:dyDescent="0.2">
      <c r="R134" s="157"/>
      <c r="S134" s="157"/>
      <c r="T134" s="157"/>
      <c r="U134" s="157"/>
      <c r="V134" s="157"/>
      <c r="W134" s="160"/>
      <c r="X134" s="160"/>
      <c r="Y134" s="168"/>
      <c r="Z134" s="157"/>
      <c r="AA134" s="157"/>
      <c r="AB134" s="169"/>
      <c r="AC134" s="160"/>
      <c r="AD134" s="160"/>
      <c r="AE134" s="168"/>
    </row>
    <row r="135" spans="17:31" ht="10.050000000000001" customHeight="1" thickBot="1" x14ac:dyDescent="0.25">
      <c r="Y135" s="177">
        <v>45942</v>
      </c>
    </row>
    <row r="136" spans="17:31" ht="10.050000000000001" customHeight="1" thickBot="1" x14ac:dyDescent="0.25">
      <c r="Q136" s="208"/>
      <c r="R136" s="142"/>
      <c r="S136" s="143"/>
      <c r="T136" s="143"/>
      <c r="U136" s="220" t="s">
        <v>1</v>
      </c>
      <c r="V136" s="144" t="s">
        <v>67</v>
      </c>
      <c r="W136" s="224" t="s">
        <v>2</v>
      </c>
      <c r="X136" s="225"/>
      <c r="Y136" s="226"/>
      <c r="Z136" s="233" t="s">
        <v>3</v>
      </c>
      <c r="AA136" s="234"/>
      <c r="AB136" s="235"/>
      <c r="AC136" s="224" t="s">
        <v>4</v>
      </c>
      <c r="AD136" s="225"/>
      <c r="AE136" s="226"/>
    </row>
    <row r="137" spans="17:31" ht="10.050000000000001" customHeight="1" x14ac:dyDescent="0.2">
      <c r="Q137" s="147"/>
      <c r="R137" s="145" t="s">
        <v>5</v>
      </c>
      <c r="S137" s="146" t="s">
        <v>6</v>
      </c>
      <c r="T137" s="146" t="s">
        <v>66</v>
      </c>
      <c r="U137" s="147" t="s">
        <v>7</v>
      </c>
      <c r="V137" s="148" t="s">
        <v>7</v>
      </c>
      <c r="W137" s="149" t="s">
        <v>7</v>
      </c>
      <c r="X137" s="150" t="s">
        <v>8</v>
      </c>
      <c r="Y137" s="151" t="s">
        <v>9</v>
      </c>
      <c r="Z137" s="147" t="s">
        <v>7</v>
      </c>
      <c r="AA137" s="152" t="s">
        <v>8</v>
      </c>
      <c r="AB137" s="153"/>
      <c r="AC137" s="149" t="s">
        <v>7</v>
      </c>
      <c r="AD137" s="150" t="s">
        <v>8</v>
      </c>
      <c r="AE137" s="151" t="s">
        <v>9</v>
      </c>
    </row>
    <row r="138" spans="17:31" ht="10.050000000000001" customHeight="1" x14ac:dyDescent="0.2">
      <c r="Q138" s="148" t="s">
        <v>10</v>
      </c>
      <c r="R138" s="32">
        <v>40105</v>
      </c>
      <c r="S138" s="33">
        <v>15642</v>
      </c>
      <c r="T138" s="33"/>
      <c r="U138" s="33"/>
      <c r="V138" s="35">
        <v>11524</v>
      </c>
      <c r="W138" s="81">
        <v>8996</v>
      </c>
      <c r="X138" s="82">
        <v>4694</v>
      </c>
      <c r="Y138" s="154">
        <f t="shared" ref="Y138:Y143" si="42">X138/W138</f>
        <v>0.52178746109381946</v>
      </c>
      <c r="Z138" s="34">
        <v>640</v>
      </c>
      <c r="AA138" s="34">
        <v>639</v>
      </c>
      <c r="AB138" s="155">
        <f>AA138/Z138</f>
        <v>0.99843749999999998</v>
      </c>
      <c r="AC138" s="81"/>
      <c r="AD138" s="82"/>
      <c r="AE138" s="154"/>
    </row>
    <row r="139" spans="17:31" ht="10.050000000000001" customHeight="1" x14ac:dyDescent="0.2">
      <c r="Q139" s="148" t="s">
        <v>11</v>
      </c>
      <c r="R139" s="32">
        <v>9320</v>
      </c>
      <c r="S139" s="33">
        <v>6496</v>
      </c>
      <c r="T139" s="33"/>
      <c r="U139" s="33"/>
      <c r="V139" s="35">
        <v>7310</v>
      </c>
      <c r="W139" s="81">
        <v>6819</v>
      </c>
      <c r="X139" s="82">
        <v>3337</v>
      </c>
      <c r="Y139" s="154">
        <f t="shared" si="42"/>
        <v>0.48936794251356502</v>
      </c>
      <c r="Z139" s="34">
        <v>255</v>
      </c>
      <c r="AA139" s="34">
        <v>255</v>
      </c>
      <c r="AB139" s="155">
        <f t="shared" ref="AB139:AB143" si="43">AA139/Z139</f>
        <v>1</v>
      </c>
      <c r="AC139" s="81">
        <v>547</v>
      </c>
      <c r="AD139" s="82">
        <v>179</v>
      </c>
      <c r="AE139" s="154">
        <f>AD139/AC139</f>
        <v>0.32723948811700182</v>
      </c>
    </row>
    <row r="140" spans="17:31" ht="10.050000000000001" customHeight="1" x14ac:dyDescent="0.2">
      <c r="Q140" s="148" t="s">
        <v>12</v>
      </c>
      <c r="R140" s="32">
        <v>3710</v>
      </c>
      <c r="S140" s="33">
        <v>2324</v>
      </c>
      <c r="T140" s="33"/>
      <c r="U140" s="33"/>
      <c r="V140" s="35">
        <v>2853</v>
      </c>
      <c r="W140" s="81">
        <v>1799</v>
      </c>
      <c r="X140" s="82">
        <v>851</v>
      </c>
      <c r="Y140" s="154">
        <f t="shared" si="42"/>
        <v>0.47304057809894384</v>
      </c>
      <c r="Z140" s="34">
        <v>214</v>
      </c>
      <c r="AA140" s="34">
        <v>214</v>
      </c>
      <c r="AB140" s="155">
        <f t="shared" si="43"/>
        <v>1</v>
      </c>
      <c r="AC140" s="81">
        <v>935</v>
      </c>
      <c r="AD140" s="82">
        <v>287</v>
      </c>
      <c r="AE140" s="154">
        <f>AD140/AC140</f>
        <v>0.30695187165775401</v>
      </c>
    </row>
    <row r="141" spans="17:31" ht="10.050000000000001" customHeight="1" x14ac:dyDescent="0.2">
      <c r="Q141" s="148" t="s">
        <v>13</v>
      </c>
      <c r="R141" s="32">
        <v>10456</v>
      </c>
      <c r="S141" s="33">
        <v>9975</v>
      </c>
      <c r="T141" s="33"/>
      <c r="U141" s="33"/>
      <c r="V141" s="35">
        <v>7880</v>
      </c>
      <c r="W141" s="81">
        <v>2272</v>
      </c>
      <c r="X141" s="82">
        <v>854</v>
      </c>
      <c r="Y141" s="154">
        <f t="shared" si="42"/>
        <v>0.37588028169014087</v>
      </c>
      <c r="Z141" s="34">
        <v>2721</v>
      </c>
      <c r="AA141" s="34">
        <v>2678</v>
      </c>
      <c r="AB141" s="155">
        <f t="shared" si="43"/>
        <v>0.9841969864020581</v>
      </c>
      <c r="AC141" s="81">
        <v>2286</v>
      </c>
      <c r="AD141" s="82">
        <v>536</v>
      </c>
      <c r="AE141" s="154">
        <f>AD141/AC141</f>
        <v>0.23447069116360456</v>
      </c>
    </row>
    <row r="142" spans="17:31" ht="10.050000000000001" customHeight="1" thickBot="1" x14ac:dyDescent="0.25">
      <c r="Q142" s="209" t="s">
        <v>0</v>
      </c>
      <c r="R142" s="36">
        <v>6479</v>
      </c>
      <c r="S142" s="37">
        <v>6444</v>
      </c>
      <c r="T142" s="37"/>
      <c r="U142" s="37"/>
      <c r="V142" s="83">
        <v>3143</v>
      </c>
      <c r="W142" s="84">
        <v>1463</v>
      </c>
      <c r="X142" s="85">
        <v>449</v>
      </c>
      <c r="Y142" s="154">
        <f t="shared" si="42"/>
        <v>0.3069036226930964</v>
      </c>
      <c r="Z142" s="38">
        <v>2398</v>
      </c>
      <c r="AA142" s="38">
        <v>2263</v>
      </c>
      <c r="AB142" s="155">
        <f t="shared" si="43"/>
        <v>0.9437030859049208</v>
      </c>
      <c r="AC142" s="84">
        <v>1355</v>
      </c>
      <c r="AD142" s="85">
        <v>270</v>
      </c>
      <c r="AE142" s="156">
        <f>AD142/AC142</f>
        <v>0.19926199261992619</v>
      </c>
    </row>
    <row r="143" spans="17:31" ht="10.050000000000001" customHeight="1" x14ac:dyDescent="0.2">
      <c r="Q143" s="162"/>
      <c r="R143" s="39">
        <f t="shared" ref="R143:X143" si="44">SUM(R138:R142)</f>
        <v>70070</v>
      </c>
      <c r="S143" s="39">
        <f t="shared" si="44"/>
        <v>40881</v>
      </c>
      <c r="T143" s="39">
        <f t="shared" si="44"/>
        <v>0</v>
      </c>
      <c r="U143" s="39"/>
      <c r="V143" s="157">
        <f t="shared" si="44"/>
        <v>32710</v>
      </c>
      <c r="W143" s="160">
        <f t="shared" si="44"/>
        <v>21349</v>
      </c>
      <c r="X143" s="160">
        <f t="shared" si="44"/>
        <v>10185</v>
      </c>
      <c r="Y143" s="161">
        <f t="shared" si="42"/>
        <v>0.47707152559838867</v>
      </c>
      <c r="Z143" s="157">
        <f>SUM(Z138:Z142)</f>
        <v>6228</v>
      </c>
      <c r="AA143" s="157">
        <f>SUM(AA138:AA142)</f>
        <v>6049</v>
      </c>
      <c r="AB143" s="159">
        <f t="shared" si="43"/>
        <v>0.97125883108542066</v>
      </c>
      <c r="AC143" s="160">
        <f>SUM(AC138:AC142)</f>
        <v>5123</v>
      </c>
      <c r="AD143" s="160">
        <f>SUM(AD138:AD142)</f>
        <v>1272</v>
      </c>
      <c r="AE143" s="161">
        <f>AD143/AC143</f>
        <v>0.24829201639664258</v>
      </c>
    </row>
    <row r="144" spans="17:31" ht="10.050000000000001" customHeight="1" thickBot="1" x14ac:dyDescent="0.25">
      <c r="Q144" s="210"/>
      <c r="R144" s="40"/>
      <c r="S144" s="40"/>
      <c r="T144" s="40"/>
      <c r="U144" s="162"/>
      <c r="V144" s="31"/>
      <c r="W144" s="162"/>
      <c r="X144" s="162"/>
      <c r="Y144" s="162"/>
      <c r="Z144" s="162"/>
      <c r="AA144" s="162"/>
      <c r="AB144" s="162"/>
      <c r="AC144" s="162"/>
      <c r="AD144" s="162"/>
      <c r="AE144" s="162"/>
    </row>
    <row r="145" spans="17:31" ht="10.050000000000001" customHeight="1" thickBot="1" x14ac:dyDescent="0.25">
      <c r="Q145" s="144"/>
      <c r="R145" s="41"/>
      <c r="S145" s="42"/>
      <c r="T145" s="42"/>
      <c r="U145" s="221" t="s">
        <v>1</v>
      </c>
      <c r="V145" s="144" t="s">
        <v>67</v>
      </c>
      <c r="W145" s="227" t="s">
        <v>2</v>
      </c>
      <c r="X145" s="228"/>
      <c r="Y145" s="229"/>
      <c r="Z145" s="230" t="s">
        <v>3</v>
      </c>
      <c r="AA145" s="231"/>
      <c r="AB145" s="232"/>
      <c r="AC145" s="227" t="s">
        <v>4</v>
      </c>
      <c r="AD145" s="228"/>
      <c r="AE145" s="229"/>
    </row>
    <row r="146" spans="17:31" ht="10.050000000000001" customHeight="1" x14ac:dyDescent="0.2">
      <c r="Q146" s="148"/>
      <c r="R146" s="145" t="s">
        <v>5</v>
      </c>
      <c r="S146" s="42" t="s">
        <v>6</v>
      </c>
      <c r="T146" s="56" t="s">
        <v>66</v>
      </c>
      <c r="U146" s="148" t="s">
        <v>7</v>
      </c>
      <c r="V146" s="148" t="s">
        <v>7</v>
      </c>
      <c r="W146" s="163" t="s">
        <v>7</v>
      </c>
      <c r="X146" s="164" t="s">
        <v>8</v>
      </c>
      <c r="Y146" s="165" t="s">
        <v>9</v>
      </c>
      <c r="Z146" s="148" t="s">
        <v>7</v>
      </c>
      <c r="AA146" s="166" t="s">
        <v>8</v>
      </c>
      <c r="AB146" s="167" t="s">
        <v>9</v>
      </c>
      <c r="AC146" s="163" t="s">
        <v>7</v>
      </c>
      <c r="AD146" s="164" t="s">
        <v>8</v>
      </c>
      <c r="AE146" s="165" t="s">
        <v>9</v>
      </c>
    </row>
    <row r="147" spans="17:31" ht="10.050000000000001" customHeight="1" x14ac:dyDescent="0.2">
      <c r="Q147" s="148" t="s">
        <v>10</v>
      </c>
      <c r="R147" s="32">
        <v>40105</v>
      </c>
      <c r="S147" s="43">
        <v>15642</v>
      </c>
      <c r="T147" s="43"/>
      <c r="U147" s="34"/>
      <c r="V147" s="35">
        <v>11524</v>
      </c>
      <c r="W147" s="81">
        <v>8242</v>
      </c>
      <c r="X147" s="82">
        <v>4694</v>
      </c>
      <c r="Y147" s="154">
        <f t="shared" ref="Y147:Y152" si="45">X147/W147</f>
        <v>0.56952196068915317</v>
      </c>
      <c r="Z147" s="34">
        <v>640</v>
      </c>
      <c r="AA147" s="34">
        <v>639</v>
      </c>
      <c r="AB147" s="155">
        <f t="shared" ref="AB147:AB152" si="46">AA147/Z147</f>
        <v>0.99843749999999998</v>
      </c>
      <c r="AC147" s="81"/>
      <c r="AD147" s="82"/>
      <c r="AE147" s="154"/>
    </row>
    <row r="148" spans="17:31" ht="10.050000000000001" customHeight="1" x14ac:dyDescent="0.2">
      <c r="Q148" s="148" t="s">
        <v>11</v>
      </c>
      <c r="R148" s="32">
        <v>9320</v>
      </c>
      <c r="S148" s="43">
        <v>6496</v>
      </c>
      <c r="T148" s="43"/>
      <c r="U148" s="34"/>
      <c r="V148" s="35">
        <v>7310</v>
      </c>
      <c r="W148" s="81">
        <v>6620</v>
      </c>
      <c r="X148" s="82">
        <v>3337</v>
      </c>
      <c r="Y148" s="154">
        <f t="shared" si="45"/>
        <v>0.50407854984894263</v>
      </c>
      <c r="Z148" s="34">
        <v>255</v>
      </c>
      <c r="AA148" s="34">
        <v>255</v>
      </c>
      <c r="AB148" s="155">
        <f t="shared" si="46"/>
        <v>1</v>
      </c>
      <c r="AC148" s="81">
        <v>530</v>
      </c>
      <c r="AD148" s="82">
        <v>177</v>
      </c>
      <c r="AE148" s="154">
        <f>AD148/AC148</f>
        <v>0.33396226415094338</v>
      </c>
    </row>
    <row r="149" spans="17:31" ht="10.050000000000001" customHeight="1" x14ac:dyDescent="0.2">
      <c r="Q149" s="148" t="s">
        <v>12</v>
      </c>
      <c r="R149" s="32">
        <v>3710</v>
      </c>
      <c r="S149" s="43">
        <v>2324</v>
      </c>
      <c r="T149" s="43"/>
      <c r="U149" s="34"/>
      <c r="V149" s="35">
        <v>2853</v>
      </c>
      <c r="W149" s="81">
        <v>1782</v>
      </c>
      <c r="X149" s="82">
        <v>851</v>
      </c>
      <c r="Y149" s="154">
        <f t="shared" si="45"/>
        <v>0.47755331088664421</v>
      </c>
      <c r="Z149" s="34">
        <v>214</v>
      </c>
      <c r="AA149" s="34">
        <v>214</v>
      </c>
      <c r="AB149" s="155">
        <f t="shared" si="46"/>
        <v>1</v>
      </c>
      <c r="AC149" s="81">
        <v>843</v>
      </c>
      <c r="AD149" s="82">
        <v>278</v>
      </c>
      <c r="AE149" s="154">
        <f>AD149/AC149</f>
        <v>0.32977461447212336</v>
      </c>
    </row>
    <row r="150" spans="17:31" ht="10.050000000000001" customHeight="1" x14ac:dyDescent="0.2">
      <c r="Q150" s="148" t="s">
        <v>13</v>
      </c>
      <c r="R150" s="32">
        <v>10456</v>
      </c>
      <c r="S150" s="43">
        <v>9975</v>
      </c>
      <c r="T150" s="43"/>
      <c r="U150" s="34"/>
      <c r="V150" s="35">
        <v>7880</v>
      </c>
      <c r="W150" s="81">
        <v>2259</v>
      </c>
      <c r="X150" s="82">
        <v>854</v>
      </c>
      <c r="Y150" s="154">
        <f t="shared" si="45"/>
        <v>0.37804338202744575</v>
      </c>
      <c r="Z150" s="34">
        <v>2721</v>
      </c>
      <c r="AA150" s="34">
        <v>2678</v>
      </c>
      <c r="AB150" s="155">
        <f t="shared" si="46"/>
        <v>0.9841969864020581</v>
      </c>
      <c r="AC150" s="81">
        <v>2083</v>
      </c>
      <c r="AD150" s="82">
        <v>505</v>
      </c>
      <c r="AE150" s="154">
        <f>AD150/AC150</f>
        <v>0.24243879020643302</v>
      </c>
    </row>
    <row r="151" spans="17:31" ht="10.050000000000001" customHeight="1" thickBot="1" x14ac:dyDescent="0.25">
      <c r="Q151" s="209" t="s">
        <v>0</v>
      </c>
      <c r="R151" s="36">
        <v>6479</v>
      </c>
      <c r="S151" s="44">
        <v>6444</v>
      </c>
      <c r="T151" s="44"/>
      <c r="U151" s="38"/>
      <c r="V151" s="83">
        <v>3143</v>
      </c>
      <c r="W151" s="84">
        <v>1463</v>
      </c>
      <c r="X151" s="85">
        <v>449</v>
      </c>
      <c r="Y151" s="154">
        <f t="shared" si="45"/>
        <v>0.3069036226930964</v>
      </c>
      <c r="Z151" s="38">
        <v>2398</v>
      </c>
      <c r="AA151" s="38">
        <v>2263</v>
      </c>
      <c r="AB151" s="155">
        <f t="shared" si="46"/>
        <v>0.9437030859049208</v>
      </c>
      <c r="AC151" s="84">
        <v>1210</v>
      </c>
      <c r="AD151" s="85">
        <v>255</v>
      </c>
      <c r="AE151" s="156">
        <f>AD151/AC151</f>
        <v>0.21074380165289255</v>
      </c>
    </row>
    <row r="152" spans="17:31" ht="10.050000000000001" customHeight="1" x14ac:dyDescent="0.2">
      <c r="R152" s="157">
        <f t="shared" ref="R152:X152" si="47">SUM(R147:R151)</f>
        <v>70070</v>
      </c>
      <c r="S152" s="157">
        <f t="shared" si="47"/>
        <v>40881</v>
      </c>
      <c r="T152" s="157">
        <f t="shared" si="47"/>
        <v>0</v>
      </c>
      <c r="U152" s="157"/>
      <c r="V152" s="157">
        <f t="shared" si="47"/>
        <v>32710</v>
      </c>
      <c r="W152" s="160">
        <f t="shared" si="47"/>
        <v>20366</v>
      </c>
      <c r="X152" s="160">
        <f t="shared" si="47"/>
        <v>10185</v>
      </c>
      <c r="Y152" s="168">
        <f t="shared" si="45"/>
        <v>0.50009820288716489</v>
      </c>
      <c r="Z152" s="157">
        <f>SUM(Z147:Z151)</f>
        <v>6228</v>
      </c>
      <c r="AA152" s="157">
        <f>SUM(AA147:AA151)</f>
        <v>6049</v>
      </c>
      <c r="AB152" s="169">
        <f t="shared" si="46"/>
        <v>0.97125883108542066</v>
      </c>
      <c r="AC152" s="160">
        <f>SUM(AC147:AC151)</f>
        <v>4666</v>
      </c>
      <c r="AD152" s="160">
        <f>SUM(AD147:AD151)</f>
        <v>1215</v>
      </c>
      <c r="AE152" s="168">
        <f>AD152/AC152</f>
        <v>0.26039434204886414</v>
      </c>
    </row>
    <row r="153" spans="17:31" ht="10.050000000000001" customHeight="1" x14ac:dyDescent="0.2"/>
    <row r="154" spans="17:31" ht="10.050000000000001" customHeight="1" thickBot="1" x14ac:dyDescent="0.25">
      <c r="Y154" s="177" t="s">
        <v>127</v>
      </c>
    </row>
    <row r="155" spans="17:31" ht="10.050000000000001" customHeight="1" thickBot="1" x14ac:dyDescent="0.25">
      <c r="Q155" s="208"/>
      <c r="R155" s="142"/>
      <c r="S155" s="143"/>
      <c r="T155" s="143"/>
      <c r="U155" s="220" t="s">
        <v>1</v>
      </c>
      <c r="V155" s="144" t="s">
        <v>67</v>
      </c>
      <c r="W155" s="224" t="s">
        <v>2</v>
      </c>
      <c r="X155" s="225"/>
      <c r="Y155" s="226"/>
      <c r="Z155" s="233" t="s">
        <v>3</v>
      </c>
      <c r="AA155" s="234"/>
      <c r="AB155" s="235"/>
      <c r="AC155" s="224" t="s">
        <v>4</v>
      </c>
      <c r="AD155" s="225"/>
      <c r="AE155" s="226"/>
    </row>
    <row r="156" spans="17:31" ht="10.050000000000001" customHeight="1" x14ac:dyDescent="0.2">
      <c r="Q156" s="147"/>
      <c r="R156" s="145" t="s">
        <v>5</v>
      </c>
      <c r="S156" s="146" t="s">
        <v>6</v>
      </c>
      <c r="T156" s="146" t="s">
        <v>66</v>
      </c>
      <c r="U156" s="147" t="s">
        <v>7</v>
      </c>
      <c r="V156" s="148" t="s">
        <v>7</v>
      </c>
      <c r="W156" s="149" t="s">
        <v>7</v>
      </c>
      <c r="X156" s="150" t="s">
        <v>8</v>
      </c>
      <c r="Y156" s="151" t="s">
        <v>9</v>
      </c>
      <c r="Z156" s="147" t="s">
        <v>7</v>
      </c>
      <c r="AA156" s="152" t="s">
        <v>8</v>
      </c>
      <c r="AB156" s="153"/>
      <c r="AC156" s="149" t="s">
        <v>7</v>
      </c>
      <c r="AD156" s="150" t="s">
        <v>8</v>
      </c>
      <c r="AE156" s="151" t="s">
        <v>9</v>
      </c>
    </row>
    <row r="157" spans="17:31" ht="10.050000000000001" customHeight="1" x14ac:dyDescent="0.2">
      <c r="Q157" s="148" t="s">
        <v>10</v>
      </c>
      <c r="R157" s="32">
        <v>40105</v>
      </c>
      <c r="S157" s="33">
        <v>16019</v>
      </c>
      <c r="T157" s="33"/>
      <c r="U157" s="33"/>
      <c r="V157" s="35">
        <v>12936</v>
      </c>
      <c r="W157" s="81">
        <v>24011</v>
      </c>
      <c r="X157" s="82">
        <v>10327</v>
      </c>
      <c r="Y157" s="154">
        <f t="shared" ref="Y157:Y162" si="48">X157/W157</f>
        <v>0.43009454000249886</v>
      </c>
      <c r="Z157" s="34"/>
      <c r="AA157" s="34"/>
      <c r="AB157" s="155"/>
      <c r="AC157" s="81">
        <v>176</v>
      </c>
      <c r="AD157" s="82">
        <v>91</v>
      </c>
      <c r="AE157" s="154"/>
    </row>
    <row r="158" spans="17:31" ht="10.050000000000001" customHeight="1" x14ac:dyDescent="0.2">
      <c r="Q158" s="148" t="s">
        <v>11</v>
      </c>
      <c r="R158" s="32">
        <v>9320</v>
      </c>
      <c r="S158" s="33">
        <v>6619</v>
      </c>
      <c r="T158" s="33"/>
      <c r="U158" s="33"/>
      <c r="V158" s="35">
        <v>7428</v>
      </c>
      <c r="W158" s="81">
        <v>13768</v>
      </c>
      <c r="X158" s="82">
        <v>5550</v>
      </c>
      <c r="Y158" s="154">
        <f t="shared" si="48"/>
        <v>0.40310865775711796</v>
      </c>
      <c r="Z158" s="34"/>
      <c r="AA158" s="34"/>
      <c r="AB158" s="155"/>
      <c r="AC158" s="81">
        <v>439</v>
      </c>
      <c r="AD158" s="82">
        <v>134</v>
      </c>
      <c r="AE158" s="154">
        <f>AD158/AC158</f>
        <v>0.30523917995444189</v>
      </c>
    </row>
    <row r="159" spans="17:31" ht="10.050000000000001" customHeight="1" x14ac:dyDescent="0.2">
      <c r="Q159" s="148" t="s">
        <v>12</v>
      </c>
      <c r="R159" s="32">
        <v>3710</v>
      </c>
      <c r="S159" s="33">
        <v>2408</v>
      </c>
      <c r="T159" s="33"/>
      <c r="U159" s="33"/>
      <c r="V159" s="35">
        <v>2919</v>
      </c>
      <c r="W159" s="81">
        <v>5594</v>
      </c>
      <c r="X159" s="82">
        <v>2019</v>
      </c>
      <c r="Y159" s="154">
        <f t="shared" si="48"/>
        <v>0.36092241687522347</v>
      </c>
      <c r="Z159" s="34"/>
      <c r="AA159" s="34"/>
      <c r="AB159" s="155"/>
      <c r="AC159" s="81">
        <v>911</v>
      </c>
      <c r="AD159" s="82">
        <v>277</v>
      </c>
      <c r="AE159" s="154">
        <f>AD159/AC159</f>
        <v>0.30406147091108671</v>
      </c>
    </row>
    <row r="160" spans="17:31" ht="10.050000000000001" customHeight="1" x14ac:dyDescent="0.2">
      <c r="Q160" s="148" t="s">
        <v>13</v>
      </c>
      <c r="R160" s="32">
        <v>10456</v>
      </c>
      <c r="S160" s="33">
        <v>10009</v>
      </c>
      <c r="T160" s="33"/>
      <c r="U160" s="33"/>
      <c r="V160" s="35">
        <v>7903</v>
      </c>
      <c r="W160" s="81">
        <v>19283</v>
      </c>
      <c r="X160" s="82">
        <v>5211</v>
      </c>
      <c r="Y160" s="154">
        <f t="shared" si="48"/>
        <v>0.27023803350101128</v>
      </c>
      <c r="Z160" s="34"/>
      <c r="AA160" s="34"/>
      <c r="AB160" s="155"/>
      <c r="AC160" s="81">
        <v>2006</v>
      </c>
      <c r="AD160" s="82">
        <v>472</v>
      </c>
      <c r="AE160" s="154">
        <f>AD160/AC160</f>
        <v>0.23529411764705882</v>
      </c>
    </row>
    <row r="161" spans="17:31" ht="10.050000000000001" customHeight="1" thickBot="1" x14ac:dyDescent="0.25">
      <c r="Q161" s="209" t="s">
        <v>0</v>
      </c>
      <c r="R161" s="36">
        <v>6479</v>
      </c>
      <c r="S161" s="37">
        <v>6447</v>
      </c>
      <c r="T161" s="37"/>
      <c r="U161" s="37"/>
      <c r="V161" s="83">
        <v>3145</v>
      </c>
      <c r="W161" s="84">
        <v>20174</v>
      </c>
      <c r="X161" s="85">
        <v>2881</v>
      </c>
      <c r="Y161" s="154">
        <f t="shared" si="48"/>
        <v>0.14280757410528402</v>
      </c>
      <c r="Z161" s="38"/>
      <c r="AA161" s="38"/>
      <c r="AB161" s="155"/>
      <c r="AC161" s="84">
        <v>970</v>
      </c>
      <c r="AD161" s="85">
        <v>126</v>
      </c>
      <c r="AE161" s="156">
        <f>AD161/AC161</f>
        <v>0.12989690721649486</v>
      </c>
    </row>
    <row r="162" spans="17:31" ht="10.050000000000001" customHeight="1" x14ac:dyDescent="0.2">
      <c r="Q162" s="162"/>
      <c r="R162" s="39">
        <f t="shared" ref="R162:X162" si="49">SUM(R157:R161)</f>
        <v>70070</v>
      </c>
      <c r="S162" s="39">
        <f t="shared" si="49"/>
        <v>41502</v>
      </c>
      <c r="T162" s="39">
        <f t="shared" si="49"/>
        <v>0</v>
      </c>
      <c r="U162" s="39"/>
      <c r="V162" s="157">
        <f t="shared" si="49"/>
        <v>34331</v>
      </c>
      <c r="W162" s="160">
        <f t="shared" si="49"/>
        <v>82830</v>
      </c>
      <c r="X162" s="160">
        <f t="shared" si="49"/>
        <v>25988</v>
      </c>
      <c r="Y162" s="161">
        <f t="shared" si="48"/>
        <v>0.31375105638053846</v>
      </c>
      <c r="Z162" s="157"/>
      <c r="AA162" s="157"/>
      <c r="AB162" s="159"/>
      <c r="AC162" s="160">
        <f>SUM(AC157:AC161)</f>
        <v>4502</v>
      </c>
      <c r="AD162" s="160">
        <f>SUM(AD157:AD161)</f>
        <v>1100</v>
      </c>
      <c r="AE162" s="161">
        <f>AD162/AC162</f>
        <v>0.24433585073300756</v>
      </c>
    </row>
    <row r="163" spans="17:31" ht="10.050000000000001" customHeight="1" thickBot="1" x14ac:dyDescent="0.25">
      <c r="Q163" s="210"/>
      <c r="R163" s="40"/>
      <c r="S163" s="40"/>
      <c r="T163" s="40"/>
      <c r="U163" s="162"/>
      <c r="V163" s="31"/>
      <c r="W163" s="162"/>
      <c r="X163" s="162"/>
      <c r="Y163" s="162"/>
      <c r="Z163" s="162"/>
      <c r="AA163" s="162"/>
      <c r="AB163" s="162"/>
      <c r="AC163" s="162"/>
      <c r="AD163" s="162"/>
      <c r="AE163" s="162"/>
    </row>
    <row r="164" spans="17:31" ht="10.050000000000001" customHeight="1" thickBot="1" x14ac:dyDescent="0.25">
      <c r="Q164" s="144"/>
      <c r="R164" s="41"/>
      <c r="S164" s="42"/>
      <c r="T164" s="42"/>
      <c r="U164" s="221" t="s">
        <v>1</v>
      </c>
      <c r="V164" s="144" t="s">
        <v>67</v>
      </c>
      <c r="W164" s="227" t="s">
        <v>2</v>
      </c>
      <c r="X164" s="228"/>
      <c r="Y164" s="229"/>
      <c r="Z164" s="230" t="s">
        <v>3</v>
      </c>
      <c r="AA164" s="231"/>
      <c r="AB164" s="232"/>
      <c r="AC164" s="227" t="s">
        <v>4</v>
      </c>
      <c r="AD164" s="228"/>
      <c r="AE164" s="229"/>
    </row>
    <row r="165" spans="17:31" ht="10.050000000000001" customHeight="1" x14ac:dyDescent="0.2">
      <c r="Q165" s="148"/>
      <c r="R165" s="145" t="s">
        <v>5</v>
      </c>
      <c r="S165" s="42" t="s">
        <v>6</v>
      </c>
      <c r="T165" s="56" t="s">
        <v>66</v>
      </c>
      <c r="U165" s="148" t="s">
        <v>7</v>
      </c>
      <c r="V165" s="148" t="s">
        <v>7</v>
      </c>
      <c r="W165" s="163" t="s">
        <v>7</v>
      </c>
      <c r="X165" s="164" t="s">
        <v>8</v>
      </c>
      <c r="Y165" s="165" t="s">
        <v>9</v>
      </c>
      <c r="Z165" s="148" t="s">
        <v>7</v>
      </c>
      <c r="AA165" s="166" t="s">
        <v>8</v>
      </c>
      <c r="AB165" s="167" t="s">
        <v>9</v>
      </c>
      <c r="AC165" s="163" t="s">
        <v>7</v>
      </c>
      <c r="AD165" s="164" t="s">
        <v>8</v>
      </c>
      <c r="AE165" s="165" t="s">
        <v>9</v>
      </c>
    </row>
    <row r="166" spans="17:31" ht="10.050000000000001" customHeight="1" x14ac:dyDescent="0.2">
      <c r="Q166" s="148" t="s">
        <v>10</v>
      </c>
      <c r="R166" s="32">
        <v>40105</v>
      </c>
      <c r="S166" s="43">
        <v>16019</v>
      </c>
      <c r="T166" s="43"/>
      <c r="U166" s="34"/>
      <c r="V166" s="35">
        <v>12936</v>
      </c>
      <c r="W166" s="81">
        <v>14846</v>
      </c>
      <c r="X166" s="82">
        <v>10327</v>
      </c>
      <c r="Y166" s="154">
        <f t="shared" ref="Y166:Y171" si="50">X166/W166</f>
        <v>0.69560824464502224</v>
      </c>
      <c r="Z166" s="34"/>
      <c r="AA166" s="34"/>
      <c r="AB166" s="155"/>
      <c r="AC166" s="81">
        <v>164</v>
      </c>
      <c r="AD166" s="82">
        <v>85</v>
      </c>
      <c r="AE166" s="154"/>
    </row>
    <row r="167" spans="17:31" ht="10.050000000000001" customHeight="1" x14ac:dyDescent="0.2">
      <c r="Q167" s="148" t="s">
        <v>11</v>
      </c>
      <c r="R167" s="32">
        <v>9320</v>
      </c>
      <c r="S167" s="43">
        <v>6619</v>
      </c>
      <c r="T167" s="43"/>
      <c r="U167" s="34"/>
      <c r="V167" s="35">
        <v>7428</v>
      </c>
      <c r="W167" s="81">
        <v>8371</v>
      </c>
      <c r="X167" s="82">
        <v>5550</v>
      </c>
      <c r="Y167" s="154">
        <f t="shared" si="50"/>
        <v>0.66300322542109669</v>
      </c>
      <c r="Z167" s="34"/>
      <c r="AA167" s="34"/>
      <c r="AB167" s="155"/>
      <c r="AC167" s="81">
        <v>413</v>
      </c>
      <c r="AD167" s="82">
        <v>130</v>
      </c>
      <c r="AE167" s="154">
        <f>AD167/AC167</f>
        <v>0.31476997578692495</v>
      </c>
    </row>
    <row r="168" spans="17:31" ht="10.050000000000001" customHeight="1" x14ac:dyDescent="0.2">
      <c r="Q168" s="148" t="s">
        <v>12</v>
      </c>
      <c r="R168" s="32">
        <v>3710</v>
      </c>
      <c r="S168" s="43">
        <v>2408</v>
      </c>
      <c r="T168" s="43"/>
      <c r="U168" s="34"/>
      <c r="V168" s="35">
        <v>2919</v>
      </c>
      <c r="W168" s="81">
        <v>3337</v>
      </c>
      <c r="X168" s="82">
        <v>2019</v>
      </c>
      <c r="Y168" s="154">
        <f t="shared" si="50"/>
        <v>0.60503446209169909</v>
      </c>
      <c r="Z168" s="34"/>
      <c r="AA168" s="34"/>
      <c r="AB168" s="155"/>
      <c r="AC168" s="81">
        <v>818</v>
      </c>
      <c r="AD168" s="82">
        <v>248</v>
      </c>
      <c r="AE168" s="154">
        <f>AD168/AC168</f>
        <v>0.30317848410757947</v>
      </c>
    </row>
    <row r="169" spans="17:31" ht="10.050000000000001" customHeight="1" x14ac:dyDescent="0.2">
      <c r="Q169" s="148" t="s">
        <v>13</v>
      </c>
      <c r="R169" s="32">
        <v>10456</v>
      </c>
      <c r="S169" s="43">
        <v>10009</v>
      </c>
      <c r="T169" s="43"/>
      <c r="U169" s="34"/>
      <c r="V169" s="35">
        <v>7903</v>
      </c>
      <c r="W169" s="81">
        <v>10204</v>
      </c>
      <c r="X169" s="82">
        <v>5211</v>
      </c>
      <c r="Y169" s="154">
        <f t="shared" si="50"/>
        <v>0.5106820854566837</v>
      </c>
      <c r="Z169" s="34"/>
      <c r="AA169" s="34"/>
      <c r="AB169" s="155"/>
      <c r="AC169" s="81">
        <v>1774</v>
      </c>
      <c r="AD169" s="82">
        <v>430</v>
      </c>
      <c r="AE169" s="154">
        <f>AD169/AC169</f>
        <v>0.24239007891770012</v>
      </c>
    </row>
    <row r="170" spans="17:31" ht="10.050000000000001" customHeight="1" thickBot="1" x14ac:dyDescent="0.25">
      <c r="Q170" s="209" t="s">
        <v>0</v>
      </c>
      <c r="R170" s="36">
        <v>6479</v>
      </c>
      <c r="S170" s="44">
        <v>6447</v>
      </c>
      <c r="T170" s="44"/>
      <c r="U170" s="38"/>
      <c r="V170" s="83">
        <v>3145</v>
      </c>
      <c r="W170" s="84">
        <v>6444</v>
      </c>
      <c r="X170" s="85">
        <v>2881</v>
      </c>
      <c r="Y170" s="154">
        <f t="shared" si="50"/>
        <v>0.44708255741775293</v>
      </c>
      <c r="Z170" s="38"/>
      <c r="AA170" s="38"/>
      <c r="AB170" s="155"/>
      <c r="AC170" s="84">
        <v>894</v>
      </c>
      <c r="AD170" s="85">
        <v>124</v>
      </c>
      <c r="AE170" s="156">
        <f>AD170/AC170</f>
        <v>0.13870246085011187</v>
      </c>
    </row>
    <row r="171" spans="17:31" ht="10.050000000000001" customHeight="1" x14ac:dyDescent="0.2">
      <c r="R171" s="157">
        <f t="shared" ref="R171:X171" si="51">SUM(R166:R170)</f>
        <v>70070</v>
      </c>
      <c r="S171" s="157">
        <f t="shared" si="51"/>
        <v>41502</v>
      </c>
      <c r="T171" s="157">
        <f t="shared" si="51"/>
        <v>0</v>
      </c>
      <c r="U171" s="157"/>
      <c r="V171" s="157">
        <f t="shared" si="51"/>
        <v>34331</v>
      </c>
      <c r="W171" s="160">
        <f t="shared" si="51"/>
        <v>43202</v>
      </c>
      <c r="X171" s="160">
        <f t="shared" si="51"/>
        <v>25988</v>
      </c>
      <c r="Y171" s="168">
        <f t="shared" si="50"/>
        <v>0.60154622471181884</v>
      </c>
      <c r="Z171" s="157"/>
      <c r="AA171" s="157"/>
      <c r="AB171" s="169"/>
      <c r="AC171" s="160">
        <f>SUM(AC166:AC170)</f>
        <v>4063</v>
      </c>
      <c r="AD171" s="160">
        <f>SUM(AD166:AD170)</f>
        <v>1017</v>
      </c>
      <c r="AE171" s="168">
        <f>AD171/AC171</f>
        <v>0.25030765444253017</v>
      </c>
    </row>
    <row r="172" spans="17:31" ht="10.050000000000001" customHeight="1" x14ac:dyDescent="0.2">
      <c r="Y172" s="177"/>
    </row>
    <row r="173" spans="17:31" ht="10.050000000000001" customHeight="1" thickBot="1" x14ac:dyDescent="0.25">
      <c r="W173" s="177">
        <v>45938</v>
      </c>
      <c r="Y173" s="177"/>
    </row>
    <row r="174" spans="17:31" ht="10.050000000000001" customHeight="1" thickBot="1" x14ac:dyDescent="0.25">
      <c r="Q174" s="208"/>
      <c r="R174" s="142"/>
      <c r="S174" s="143"/>
      <c r="T174" s="143"/>
      <c r="U174" s="220" t="s">
        <v>1</v>
      </c>
      <c r="V174" s="144" t="s">
        <v>67</v>
      </c>
      <c r="W174" s="224" t="s">
        <v>2</v>
      </c>
      <c r="X174" s="225"/>
      <c r="Y174" s="226"/>
      <c r="Z174" s="233" t="s">
        <v>3</v>
      </c>
      <c r="AA174" s="234"/>
      <c r="AB174" s="235"/>
      <c r="AC174" s="224" t="s">
        <v>4</v>
      </c>
      <c r="AD174" s="225"/>
      <c r="AE174" s="226"/>
    </row>
    <row r="175" spans="17:31" ht="10.050000000000001" customHeight="1" x14ac:dyDescent="0.2">
      <c r="Q175" s="147"/>
      <c r="R175" s="145" t="s">
        <v>5</v>
      </c>
      <c r="S175" s="146" t="s">
        <v>6</v>
      </c>
      <c r="T175" s="146" t="s">
        <v>66</v>
      </c>
      <c r="U175" s="147" t="s">
        <v>7</v>
      </c>
      <c r="V175" s="148" t="s">
        <v>7</v>
      </c>
      <c r="W175" s="149" t="s">
        <v>7</v>
      </c>
      <c r="X175" s="150" t="s">
        <v>8</v>
      </c>
      <c r="Y175" s="151" t="s">
        <v>9</v>
      </c>
      <c r="Z175" s="147" t="s">
        <v>7</v>
      </c>
      <c r="AA175" s="152" t="s">
        <v>8</v>
      </c>
      <c r="AB175" s="153"/>
      <c r="AC175" s="149" t="s">
        <v>7</v>
      </c>
      <c r="AD175" s="150" t="s">
        <v>8</v>
      </c>
      <c r="AE175" s="151" t="s">
        <v>9</v>
      </c>
    </row>
    <row r="176" spans="17:31" ht="10.050000000000001" customHeight="1" x14ac:dyDescent="0.2">
      <c r="Q176" s="148" t="s">
        <v>10</v>
      </c>
      <c r="R176" s="32">
        <v>40105</v>
      </c>
      <c r="S176" s="33">
        <v>17504</v>
      </c>
      <c r="T176" s="33"/>
      <c r="U176" s="33">
        <v>17430</v>
      </c>
      <c r="V176" s="35">
        <v>13989</v>
      </c>
      <c r="W176" s="81">
        <v>14017</v>
      </c>
      <c r="X176" s="82">
        <v>7355</v>
      </c>
      <c r="Y176" s="154">
        <f t="shared" ref="Y176:Y181" si="52">X176/W176</f>
        <v>0.52471998287793398</v>
      </c>
      <c r="Z176" s="34"/>
      <c r="AA176" s="34"/>
      <c r="AB176" s="155"/>
      <c r="AC176" s="81"/>
      <c r="AD176" s="82"/>
      <c r="AE176" s="154"/>
    </row>
    <row r="177" spans="17:31" ht="10.050000000000001" customHeight="1" x14ac:dyDescent="0.2">
      <c r="Q177" s="148" t="s">
        <v>11</v>
      </c>
      <c r="R177" s="32">
        <v>9320</v>
      </c>
      <c r="S177" s="33">
        <v>6909</v>
      </c>
      <c r="T177" s="33"/>
      <c r="U177" s="33">
        <v>9419</v>
      </c>
      <c r="V177" s="35">
        <v>7500</v>
      </c>
      <c r="W177" s="81">
        <v>4995</v>
      </c>
      <c r="X177" s="82">
        <v>2559</v>
      </c>
      <c r="Y177" s="154">
        <f t="shared" si="52"/>
        <v>0.51231231231231233</v>
      </c>
      <c r="Z177" s="34"/>
      <c r="AA177" s="34"/>
      <c r="AB177" s="155"/>
      <c r="AC177" s="81">
        <v>392</v>
      </c>
      <c r="AD177" s="82">
        <v>141</v>
      </c>
      <c r="AE177" s="154">
        <f>AD177/AC177</f>
        <v>0.35969387755102039</v>
      </c>
    </row>
    <row r="178" spans="17:31" ht="10.050000000000001" customHeight="1" x14ac:dyDescent="0.2">
      <c r="Q178" s="148" t="s">
        <v>12</v>
      </c>
      <c r="R178" s="32">
        <v>3710</v>
      </c>
      <c r="S178" s="33">
        <v>2566</v>
      </c>
      <c r="T178" s="33"/>
      <c r="U178" s="33">
        <v>3766</v>
      </c>
      <c r="V178" s="35">
        <v>2961</v>
      </c>
      <c r="W178" s="81">
        <v>1000</v>
      </c>
      <c r="X178" s="82">
        <v>474</v>
      </c>
      <c r="Y178" s="154">
        <f t="shared" si="52"/>
        <v>0.47399999999999998</v>
      </c>
      <c r="Z178" s="34"/>
      <c r="AA178" s="34"/>
      <c r="AB178" s="155"/>
      <c r="AC178" s="81">
        <v>921</v>
      </c>
      <c r="AD178" s="82">
        <v>300</v>
      </c>
      <c r="AE178" s="154">
        <f>AD178/AC178</f>
        <v>0.32573289902280128</v>
      </c>
    </row>
    <row r="179" spans="17:31" ht="10.050000000000001" customHeight="1" x14ac:dyDescent="0.2">
      <c r="Q179" s="148" t="s">
        <v>13</v>
      </c>
      <c r="R179" s="32">
        <v>10456</v>
      </c>
      <c r="S179" s="33">
        <v>10033</v>
      </c>
      <c r="T179" s="33"/>
      <c r="U179" s="33">
        <v>282</v>
      </c>
      <c r="V179" s="35">
        <v>7923</v>
      </c>
      <c r="W179" s="81">
        <v>793</v>
      </c>
      <c r="X179" s="82">
        <v>332</v>
      </c>
      <c r="Y179" s="154">
        <f t="shared" si="52"/>
        <v>0.41866330390920553</v>
      </c>
      <c r="Z179" s="34">
        <v>10160</v>
      </c>
      <c r="AA179" s="34">
        <v>10064</v>
      </c>
      <c r="AB179" s="155">
        <f>AA179/Z179</f>
        <v>0.99055118110236218</v>
      </c>
      <c r="AC179" s="81">
        <v>2278</v>
      </c>
      <c r="AD179" s="82">
        <v>561</v>
      </c>
      <c r="AE179" s="154">
        <f>AD179/AC179</f>
        <v>0.2462686567164179</v>
      </c>
    </row>
    <row r="180" spans="17:31" ht="10.050000000000001" customHeight="1" thickBot="1" x14ac:dyDescent="0.25">
      <c r="Q180" s="209" t="s">
        <v>0</v>
      </c>
      <c r="R180" s="36">
        <v>6479</v>
      </c>
      <c r="S180" s="37">
        <v>6450</v>
      </c>
      <c r="T180" s="37"/>
      <c r="U180" s="37">
        <v>25</v>
      </c>
      <c r="V180" s="83">
        <v>3147</v>
      </c>
      <c r="W180" s="84">
        <v>343</v>
      </c>
      <c r="X180" s="85">
        <v>137</v>
      </c>
      <c r="Y180" s="154">
        <f t="shared" si="52"/>
        <v>0.39941690962099125</v>
      </c>
      <c r="Z180" s="38">
        <v>6430</v>
      </c>
      <c r="AA180" s="38">
        <v>6172</v>
      </c>
      <c r="AB180" s="155">
        <f>AA180/Z180</f>
        <v>0.95987558320373245</v>
      </c>
      <c r="AC180" s="84">
        <v>1659</v>
      </c>
      <c r="AD180" s="85">
        <v>266</v>
      </c>
      <c r="AE180" s="156">
        <f>AD180/AC180</f>
        <v>0.16033755274261605</v>
      </c>
    </row>
    <row r="181" spans="17:31" ht="10.050000000000001" customHeight="1" x14ac:dyDescent="0.2">
      <c r="Q181" s="162"/>
      <c r="R181" s="39">
        <f t="shared" ref="R181:X181" si="53">SUM(R176:R180)</f>
        <v>70070</v>
      </c>
      <c r="S181" s="39">
        <f t="shared" si="53"/>
        <v>43462</v>
      </c>
      <c r="T181" s="39">
        <f t="shared" si="53"/>
        <v>0</v>
      </c>
      <c r="U181" s="39">
        <f t="shared" si="53"/>
        <v>30922</v>
      </c>
      <c r="V181" s="157">
        <f t="shared" si="53"/>
        <v>35520</v>
      </c>
      <c r="W181" s="160">
        <f t="shared" si="53"/>
        <v>21148</v>
      </c>
      <c r="X181" s="160">
        <f t="shared" si="53"/>
        <v>10857</v>
      </c>
      <c r="Y181" s="161">
        <f t="shared" si="52"/>
        <v>0.51338188008322305</v>
      </c>
      <c r="Z181" s="157">
        <f>SUM(Z176:Z180)</f>
        <v>16590</v>
      </c>
      <c r="AA181" s="157">
        <f>SUM(AA176:AA180)</f>
        <v>16236</v>
      </c>
      <c r="AB181" s="159">
        <f>AA181/Z181</f>
        <v>0.97866184448462934</v>
      </c>
      <c r="AC181" s="160">
        <f>SUM(AC176:AC180)</f>
        <v>5250</v>
      </c>
      <c r="AD181" s="160">
        <f>SUM(AD176:AD180)</f>
        <v>1268</v>
      </c>
      <c r="AE181" s="161">
        <f>AD181/AC181</f>
        <v>0.24152380952380953</v>
      </c>
    </row>
    <row r="182" spans="17:31" ht="10.050000000000001" customHeight="1" thickBot="1" x14ac:dyDescent="0.25">
      <c r="Q182" s="210"/>
      <c r="R182" s="40"/>
      <c r="S182" s="40"/>
      <c r="T182" s="40"/>
      <c r="U182" s="162"/>
      <c r="V182" s="31"/>
      <c r="W182" s="162"/>
      <c r="X182" s="162"/>
      <c r="Y182" s="162"/>
      <c r="Z182" s="162"/>
      <c r="AA182" s="162"/>
      <c r="AB182" s="162"/>
      <c r="AC182" s="162"/>
      <c r="AD182" s="162"/>
      <c r="AE182" s="162"/>
    </row>
    <row r="183" spans="17:31" ht="10.050000000000001" customHeight="1" thickBot="1" x14ac:dyDescent="0.25">
      <c r="Q183" s="144"/>
      <c r="R183" s="41"/>
      <c r="S183" s="42"/>
      <c r="T183" s="42"/>
      <c r="U183" s="221" t="s">
        <v>1</v>
      </c>
      <c r="V183" s="144" t="s">
        <v>67</v>
      </c>
      <c r="W183" s="227" t="s">
        <v>2</v>
      </c>
      <c r="X183" s="228"/>
      <c r="Y183" s="229"/>
      <c r="Z183" s="230" t="s">
        <v>3</v>
      </c>
      <c r="AA183" s="231"/>
      <c r="AB183" s="232"/>
      <c r="AC183" s="227" t="s">
        <v>4</v>
      </c>
      <c r="AD183" s="228"/>
      <c r="AE183" s="229"/>
    </row>
    <row r="184" spans="17:31" ht="10.050000000000001" customHeight="1" x14ac:dyDescent="0.2">
      <c r="Q184" s="148"/>
      <c r="R184" s="145" t="s">
        <v>5</v>
      </c>
      <c r="S184" s="42" t="s">
        <v>6</v>
      </c>
      <c r="T184" s="56" t="s">
        <v>66</v>
      </c>
      <c r="U184" s="148" t="s">
        <v>7</v>
      </c>
      <c r="V184" s="148" t="s">
        <v>7</v>
      </c>
      <c r="W184" s="163" t="s">
        <v>7</v>
      </c>
      <c r="X184" s="164" t="s">
        <v>8</v>
      </c>
      <c r="Y184" s="165" t="s">
        <v>9</v>
      </c>
      <c r="Z184" s="148" t="s">
        <v>7</v>
      </c>
      <c r="AA184" s="166" t="s">
        <v>8</v>
      </c>
      <c r="AB184" s="167" t="s">
        <v>9</v>
      </c>
      <c r="AC184" s="163" t="s">
        <v>7</v>
      </c>
      <c r="AD184" s="164" t="s">
        <v>8</v>
      </c>
      <c r="AE184" s="165" t="s">
        <v>9</v>
      </c>
    </row>
    <row r="185" spans="17:31" ht="10.050000000000001" customHeight="1" x14ac:dyDescent="0.2">
      <c r="Q185" s="148" t="s">
        <v>10</v>
      </c>
      <c r="R185" s="32">
        <v>40105</v>
      </c>
      <c r="S185" s="43">
        <v>17504</v>
      </c>
      <c r="T185" s="43"/>
      <c r="U185" s="34">
        <v>17430</v>
      </c>
      <c r="V185" s="35">
        <v>13989</v>
      </c>
      <c r="W185" s="81">
        <v>14017</v>
      </c>
      <c r="X185" s="82">
        <v>7355</v>
      </c>
      <c r="Y185" s="154">
        <f t="shared" ref="Y185:Y190" si="54">X185/W185</f>
        <v>0.52471998287793398</v>
      </c>
      <c r="Z185" s="34"/>
      <c r="AA185" s="34"/>
      <c r="AB185" s="155"/>
      <c r="AC185" s="81"/>
      <c r="AD185" s="82"/>
      <c r="AE185" s="154"/>
    </row>
    <row r="186" spans="17:31" ht="10.050000000000001" customHeight="1" x14ac:dyDescent="0.2">
      <c r="Q186" s="148" t="s">
        <v>11</v>
      </c>
      <c r="R186" s="32">
        <v>9320</v>
      </c>
      <c r="S186" s="43">
        <v>6909</v>
      </c>
      <c r="T186" s="43"/>
      <c r="U186" s="34">
        <v>9419</v>
      </c>
      <c r="V186" s="35">
        <v>7500</v>
      </c>
      <c r="W186" s="81">
        <v>4995</v>
      </c>
      <c r="X186" s="82">
        <v>2559</v>
      </c>
      <c r="Y186" s="154">
        <f t="shared" si="54"/>
        <v>0.51231231231231233</v>
      </c>
      <c r="Z186" s="34"/>
      <c r="AA186" s="34"/>
      <c r="AB186" s="155"/>
      <c r="AC186" s="81">
        <v>377</v>
      </c>
      <c r="AD186" s="82">
        <v>139</v>
      </c>
      <c r="AE186" s="154">
        <f>AD186/AC186</f>
        <v>0.3687002652519894</v>
      </c>
    </row>
    <row r="187" spans="17:31" ht="10.050000000000001" customHeight="1" x14ac:dyDescent="0.2">
      <c r="Q187" s="148" t="s">
        <v>12</v>
      </c>
      <c r="R187" s="32">
        <v>3710</v>
      </c>
      <c r="S187" s="43">
        <v>2566</v>
      </c>
      <c r="T187" s="43"/>
      <c r="U187" s="34">
        <v>3766</v>
      </c>
      <c r="V187" s="35">
        <v>2961</v>
      </c>
      <c r="W187" s="81">
        <v>1000</v>
      </c>
      <c r="X187" s="82">
        <v>474</v>
      </c>
      <c r="Y187" s="154">
        <f t="shared" si="54"/>
        <v>0.47399999999999998</v>
      </c>
      <c r="Z187" s="34"/>
      <c r="AA187" s="34"/>
      <c r="AB187" s="155"/>
      <c r="AC187" s="81">
        <v>832</v>
      </c>
      <c r="AD187" s="82">
        <v>279</v>
      </c>
      <c r="AE187" s="154">
        <f>AD187/AC187</f>
        <v>0.33533653846153844</v>
      </c>
    </row>
    <row r="188" spans="17:31" ht="10.050000000000001" customHeight="1" x14ac:dyDescent="0.2">
      <c r="Q188" s="148" t="s">
        <v>13</v>
      </c>
      <c r="R188" s="32">
        <v>10456</v>
      </c>
      <c r="S188" s="43">
        <v>10033</v>
      </c>
      <c r="T188" s="43"/>
      <c r="U188" s="34">
        <v>282</v>
      </c>
      <c r="V188" s="35">
        <v>7923</v>
      </c>
      <c r="W188" s="81">
        <v>793</v>
      </c>
      <c r="X188" s="82">
        <v>332</v>
      </c>
      <c r="Y188" s="154">
        <f t="shared" si="54"/>
        <v>0.41866330390920553</v>
      </c>
      <c r="Z188" s="34">
        <v>10160</v>
      </c>
      <c r="AA188" s="34">
        <v>10064</v>
      </c>
      <c r="AB188" s="155">
        <f>AA188/Z188</f>
        <v>0.99055118110236218</v>
      </c>
      <c r="AC188" s="81">
        <v>2097</v>
      </c>
      <c r="AD188" s="82">
        <v>531</v>
      </c>
      <c r="AE188" s="154">
        <f>AD188/AC188</f>
        <v>0.25321888412017168</v>
      </c>
    </row>
    <row r="189" spans="17:31" ht="10.050000000000001" customHeight="1" thickBot="1" x14ac:dyDescent="0.25">
      <c r="Q189" s="209" t="s">
        <v>0</v>
      </c>
      <c r="R189" s="36">
        <v>6479</v>
      </c>
      <c r="S189" s="44">
        <v>6450</v>
      </c>
      <c r="T189" s="44"/>
      <c r="U189" s="38">
        <v>25</v>
      </c>
      <c r="V189" s="83">
        <v>3147</v>
      </c>
      <c r="W189" s="84">
        <v>343</v>
      </c>
      <c r="X189" s="85">
        <v>137</v>
      </c>
      <c r="Y189" s="154">
        <f t="shared" si="54"/>
        <v>0.39941690962099125</v>
      </c>
      <c r="Z189" s="38">
        <v>6430</v>
      </c>
      <c r="AA189" s="38">
        <v>6172</v>
      </c>
      <c r="AB189" s="155">
        <f>AA189/Z189</f>
        <v>0.95987558320373245</v>
      </c>
      <c r="AC189" s="84">
        <v>1517</v>
      </c>
      <c r="AD189" s="85">
        <v>254</v>
      </c>
      <c r="AE189" s="156">
        <f>AD189/AC189</f>
        <v>0.16743572841133816</v>
      </c>
    </row>
    <row r="190" spans="17:31" ht="10.050000000000001" customHeight="1" x14ac:dyDescent="0.2">
      <c r="R190" s="157">
        <f t="shared" ref="R190:X190" si="55">SUM(R185:R189)</f>
        <v>70070</v>
      </c>
      <c r="S190" s="157">
        <f t="shared" si="55"/>
        <v>43462</v>
      </c>
      <c r="T190" s="157">
        <f t="shared" si="55"/>
        <v>0</v>
      </c>
      <c r="U190" s="157">
        <f>SUM(U185:U189)</f>
        <v>30922</v>
      </c>
      <c r="V190" s="157">
        <f t="shared" si="55"/>
        <v>35520</v>
      </c>
      <c r="W190" s="160">
        <f t="shared" si="55"/>
        <v>21148</v>
      </c>
      <c r="X190" s="160">
        <f t="shared" si="55"/>
        <v>10857</v>
      </c>
      <c r="Y190" s="168">
        <f t="shared" si="54"/>
        <v>0.51338188008322305</v>
      </c>
      <c r="Z190" s="157">
        <f>SUM(Z185:Z189)</f>
        <v>16590</v>
      </c>
      <c r="AA190" s="157">
        <f>SUM(AA185:AA189)</f>
        <v>16236</v>
      </c>
      <c r="AB190" s="169">
        <f>AA190/Z190</f>
        <v>0.97866184448462934</v>
      </c>
      <c r="AC190" s="160">
        <f>SUM(AC185:AC189)</f>
        <v>4823</v>
      </c>
      <c r="AD190" s="160">
        <f>SUM(AD185:AD189)</f>
        <v>1203</v>
      </c>
      <c r="AE190" s="168">
        <f>AD190/AC190</f>
        <v>0.24942981546755133</v>
      </c>
    </row>
    <row r="191" spans="17:31" ht="10.050000000000001" customHeight="1" x14ac:dyDescent="0.2"/>
    <row r="192" spans="17:31" ht="10.050000000000001" customHeight="1" thickBot="1" x14ac:dyDescent="0.25">
      <c r="W192" s="177">
        <v>45937</v>
      </c>
    </row>
    <row r="193" spans="17:31" ht="10.050000000000001" customHeight="1" thickBot="1" x14ac:dyDescent="0.25">
      <c r="Q193" s="208"/>
      <c r="R193" s="142"/>
      <c r="S193" s="143"/>
      <c r="T193" s="143"/>
      <c r="U193" s="220" t="s">
        <v>1</v>
      </c>
      <c r="V193" s="144" t="s">
        <v>67</v>
      </c>
      <c r="W193" s="224" t="s">
        <v>2</v>
      </c>
      <c r="X193" s="225"/>
      <c r="Y193" s="226"/>
      <c r="Z193" s="233" t="s">
        <v>3</v>
      </c>
      <c r="AA193" s="234"/>
      <c r="AB193" s="235"/>
      <c r="AC193" s="224" t="s">
        <v>4</v>
      </c>
      <c r="AD193" s="225"/>
      <c r="AE193" s="226"/>
    </row>
    <row r="194" spans="17:31" ht="10.050000000000001" customHeight="1" x14ac:dyDescent="0.2">
      <c r="Q194" s="147"/>
      <c r="R194" s="145" t="s">
        <v>5</v>
      </c>
      <c r="S194" s="146" t="s">
        <v>6</v>
      </c>
      <c r="T194" s="146" t="s">
        <v>66</v>
      </c>
      <c r="U194" s="147" t="s">
        <v>7</v>
      </c>
      <c r="V194" s="148" t="s">
        <v>7</v>
      </c>
      <c r="W194" s="149" t="s">
        <v>7</v>
      </c>
      <c r="X194" s="150" t="s">
        <v>8</v>
      </c>
      <c r="Y194" s="151" t="s">
        <v>9</v>
      </c>
      <c r="Z194" s="147" t="s">
        <v>7</v>
      </c>
      <c r="AA194" s="152" t="s">
        <v>8</v>
      </c>
      <c r="AB194" s="153" t="s">
        <v>9</v>
      </c>
      <c r="AC194" s="149" t="s">
        <v>7</v>
      </c>
      <c r="AD194" s="150" t="s">
        <v>8</v>
      </c>
      <c r="AE194" s="151" t="s">
        <v>9</v>
      </c>
    </row>
    <row r="195" spans="17:31" ht="10.050000000000001" customHeight="1" x14ac:dyDescent="0.2">
      <c r="Q195" s="148" t="s">
        <v>10</v>
      </c>
      <c r="R195" s="32">
        <v>40105</v>
      </c>
      <c r="S195" s="33">
        <v>18557</v>
      </c>
      <c r="T195" s="33"/>
      <c r="U195" s="33"/>
      <c r="V195" s="35">
        <v>14956</v>
      </c>
      <c r="W195" s="81">
        <v>934</v>
      </c>
      <c r="X195" s="82">
        <v>501</v>
      </c>
      <c r="Y195" s="154">
        <f t="shared" ref="Y195:Y200" si="56">X195/W195</f>
        <v>0.5364025695931478</v>
      </c>
      <c r="Z195" s="34"/>
      <c r="AA195" s="34"/>
      <c r="AB195" s="155"/>
      <c r="AC195" s="81"/>
      <c r="AD195" s="82"/>
      <c r="AE195" s="154"/>
    </row>
    <row r="196" spans="17:31" ht="10.050000000000001" customHeight="1" x14ac:dyDescent="0.2">
      <c r="Q196" s="148" t="s">
        <v>11</v>
      </c>
      <c r="R196" s="32">
        <v>9320</v>
      </c>
      <c r="S196" s="33">
        <v>7070</v>
      </c>
      <c r="T196" s="33"/>
      <c r="U196" s="33"/>
      <c r="V196" s="35">
        <v>7611</v>
      </c>
      <c r="W196" s="81">
        <v>2225</v>
      </c>
      <c r="X196" s="82">
        <v>1083</v>
      </c>
      <c r="Y196" s="154">
        <f t="shared" si="56"/>
        <v>0.48674157303370785</v>
      </c>
      <c r="Z196" s="34"/>
      <c r="AA196" s="34"/>
      <c r="AB196" s="155"/>
      <c r="AC196" s="81">
        <v>333</v>
      </c>
      <c r="AD196" s="82">
        <v>107</v>
      </c>
      <c r="AE196" s="154">
        <f>AD196/AC196</f>
        <v>0.3213213213213213</v>
      </c>
    </row>
    <row r="197" spans="17:31" ht="10.050000000000001" customHeight="1" x14ac:dyDescent="0.2">
      <c r="Q197" s="148" t="s">
        <v>12</v>
      </c>
      <c r="R197" s="32">
        <v>3710</v>
      </c>
      <c r="S197" s="33">
        <v>2657</v>
      </c>
      <c r="T197" s="33"/>
      <c r="U197" s="33"/>
      <c r="V197" s="35">
        <v>2992</v>
      </c>
      <c r="W197" s="81">
        <v>1740</v>
      </c>
      <c r="X197" s="82">
        <v>775</v>
      </c>
      <c r="Y197" s="154">
        <f t="shared" si="56"/>
        <v>0.4454022988505747</v>
      </c>
      <c r="Z197" s="34"/>
      <c r="AA197" s="34"/>
      <c r="AB197" s="155"/>
      <c r="AC197" s="81">
        <v>852</v>
      </c>
      <c r="AD197" s="82">
        <v>311</v>
      </c>
      <c r="AE197" s="154">
        <f>AD197/AC197</f>
        <v>0.36502347417840375</v>
      </c>
    </row>
    <row r="198" spans="17:31" ht="10.050000000000001" customHeight="1" x14ac:dyDescent="0.2">
      <c r="Q198" s="148" t="s">
        <v>13</v>
      </c>
      <c r="R198" s="32">
        <v>10456</v>
      </c>
      <c r="S198" s="33">
        <v>10064</v>
      </c>
      <c r="T198" s="33"/>
      <c r="U198" s="33"/>
      <c r="V198" s="35">
        <v>7953</v>
      </c>
      <c r="W198" s="81">
        <v>9000</v>
      </c>
      <c r="X198" s="82">
        <v>3229</v>
      </c>
      <c r="Y198" s="154">
        <f t="shared" si="56"/>
        <v>0.35877777777777775</v>
      </c>
      <c r="Z198" s="34"/>
      <c r="AA198" s="34"/>
      <c r="AB198" s="155"/>
      <c r="AC198" s="81">
        <v>2344</v>
      </c>
      <c r="AD198" s="82">
        <v>630</v>
      </c>
      <c r="AE198" s="154">
        <f>AD198/AC198</f>
        <v>0.26877133105802048</v>
      </c>
    </row>
    <row r="199" spans="17:31" ht="10.050000000000001" customHeight="1" thickBot="1" x14ac:dyDescent="0.25">
      <c r="Q199" s="209" t="s">
        <v>0</v>
      </c>
      <c r="R199" s="36">
        <v>6479</v>
      </c>
      <c r="S199" s="37">
        <v>6457</v>
      </c>
      <c r="T199" s="37"/>
      <c r="U199" s="37"/>
      <c r="V199" s="83">
        <v>3149</v>
      </c>
      <c r="W199" s="84">
        <v>6019</v>
      </c>
      <c r="X199" s="85">
        <v>1643</v>
      </c>
      <c r="Y199" s="154">
        <f t="shared" si="56"/>
        <v>0.27296893171623193</v>
      </c>
      <c r="Z199" s="38"/>
      <c r="AA199" s="38"/>
      <c r="AB199" s="155"/>
      <c r="AC199" s="84">
        <v>1673</v>
      </c>
      <c r="AD199" s="85">
        <v>359</v>
      </c>
      <c r="AE199" s="156">
        <f>AD199/AC199</f>
        <v>0.214584578601315</v>
      </c>
    </row>
    <row r="200" spans="17:31" ht="10.050000000000001" customHeight="1" x14ac:dyDescent="0.2">
      <c r="Q200" s="162"/>
      <c r="R200" s="39">
        <f t="shared" ref="R200:X200" si="57">SUM(R195:R199)</f>
        <v>70070</v>
      </c>
      <c r="S200" s="39">
        <f t="shared" si="57"/>
        <v>44805</v>
      </c>
      <c r="T200" s="39">
        <f t="shared" si="57"/>
        <v>0</v>
      </c>
      <c r="U200" s="39">
        <f t="shared" si="57"/>
        <v>0</v>
      </c>
      <c r="V200" s="157">
        <f t="shared" si="57"/>
        <v>36661</v>
      </c>
      <c r="W200" s="160">
        <f t="shared" si="57"/>
        <v>19918</v>
      </c>
      <c r="X200" s="160">
        <f t="shared" si="57"/>
        <v>7231</v>
      </c>
      <c r="Y200" s="161">
        <f t="shared" si="56"/>
        <v>0.36303845767647352</v>
      </c>
      <c r="Z200" s="157">
        <f>SUM(Z195:Z199)</f>
        <v>0</v>
      </c>
      <c r="AA200" s="157">
        <f>SUM(AA195:AA199)</f>
        <v>0</v>
      </c>
      <c r="AB200" s="159"/>
      <c r="AC200" s="160">
        <f>SUM(AC195:AC199)</f>
        <v>5202</v>
      </c>
      <c r="AD200" s="160">
        <f>SUM(AD195:AD199)</f>
        <v>1407</v>
      </c>
      <c r="AE200" s="161">
        <f>AD200/AC200</f>
        <v>0.27047289504036909</v>
      </c>
    </row>
    <row r="201" spans="17:31" ht="10.050000000000001" customHeight="1" thickBot="1" x14ac:dyDescent="0.25">
      <c r="Q201" s="210"/>
      <c r="R201" s="40"/>
      <c r="S201" s="40"/>
      <c r="T201" s="40"/>
      <c r="U201" s="162"/>
      <c r="V201" s="31"/>
      <c r="W201" s="162"/>
      <c r="X201" s="162"/>
      <c r="Y201" s="162"/>
      <c r="Z201" s="162"/>
      <c r="AA201" s="162"/>
      <c r="AB201" s="162"/>
      <c r="AC201" s="162"/>
      <c r="AD201" s="162"/>
      <c r="AE201" s="162"/>
    </row>
    <row r="202" spans="17:31" ht="10.050000000000001" customHeight="1" thickBot="1" x14ac:dyDescent="0.25">
      <c r="Q202" s="144"/>
      <c r="R202" s="41"/>
      <c r="S202" s="42"/>
      <c r="T202" s="42"/>
      <c r="U202" s="221" t="s">
        <v>1</v>
      </c>
      <c r="V202" s="144" t="s">
        <v>67</v>
      </c>
      <c r="W202" s="227" t="s">
        <v>2</v>
      </c>
      <c r="X202" s="228"/>
      <c r="Y202" s="229"/>
      <c r="Z202" s="230" t="s">
        <v>3</v>
      </c>
      <c r="AA202" s="231"/>
      <c r="AB202" s="232"/>
      <c r="AC202" s="227" t="s">
        <v>4</v>
      </c>
      <c r="AD202" s="228"/>
      <c r="AE202" s="229"/>
    </row>
    <row r="203" spans="17:31" ht="10.050000000000001" customHeight="1" x14ac:dyDescent="0.2">
      <c r="Q203" s="148"/>
      <c r="R203" s="145" t="s">
        <v>5</v>
      </c>
      <c r="S203" s="42" t="s">
        <v>6</v>
      </c>
      <c r="T203" s="56" t="s">
        <v>66</v>
      </c>
      <c r="U203" s="148" t="s">
        <v>7</v>
      </c>
      <c r="V203" s="148" t="s">
        <v>7</v>
      </c>
      <c r="W203" s="163" t="s">
        <v>7</v>
      </c>
      <c r="X203" s="164" t="s">
        <v>8</v>
      </c>
      <c r="Y203" s="165" t="s">
        <v>9</v>
      </c>
      <c r="Z203" s="148" t="s">
        <v>7</v>
      </c>
      <c r="AA203" s="166" t="s">
        <v>8</v>
      </c>
      <c r="AB203" s="167" t="s">
        <v>9</v>
      </c>
      <c r="AC203" s="163" t="s">
        <v>7</v>
      </c>
      <c r="AD203" s="164" t="s">
        <v>8</v>
      </c>
      <c r="AE203" s="165" t="s">
        <v>9</v>
      </c>
    </row>
    <row r="204" spans="17:31" ht="10.050000000000001" customHeight="1" x14ac:dyDescent="0.2">
      <c r="Q204" s="148" t="s">
        <v>10</v>
      </c>
      <c r="R204" s="32">
        <v>40105</v>
      </c>
      <c r="S204" s="43">
        <v>18557</v>
      </c>
      <c r="T204" s="43"/>
      <c r="U204" s="34"/>
      <c r="V204" s="35">
        <v>14956</v>
      </c>
      <c r="W204" s="81">
        <v>934</v>
      </c>
      <c r="X204" s="82">
        <v>501</v>
      </c>
      <c r="Y204" s="154">
        <f t="shared" ref="Y204:Y209" si="58">X204/W204</f>
        <v>0.5364025695931478</v>
      </c>
      <c r="Z204" s="34"/>
      <c r="AA204" s="34"/>
      <c r="AB204" s="155"/>
      <c r="AC204" s="81"/>
      <c r="AD204" s="82"/>
      <c r="AE204" s="154"/>
    </row>
    <row r="205" spans="17:31" ht="10.050000000000001" customHeight="1" x14ac:dyDescent="0.2">
      <c r="Q205" s="148" t="s">
        <v>11</v>
      </c>
      <c r="R205" s="32">
        <v>9320</v>
      </c>
      <c r="S205" s="43">
        <v>7070</v>
      </c>
      <c r="T205" s="43"/>
      <c r="U205" s="34"/>
      <c r="V205" s="35">
        <v>7611</v>
      </c>
      <c r="W205" s="81">
        <v>2225</v>
      </c>
      <c r="X205" s="82">
        <v>1083</v>
      </c>
      <c r="Y205" s="154">
        <f t="shared" si="58"/>
        <v>0.48674157303370785</v>
      </c>
      <c r="Z205" s="34"/>
      <c r="AA205" s="34"/>
      <c r="AB205" s="155"/>
      <c r="AC205" s="81">
        <v>301</v>
      </c>
      <c r="AD205" s="82">
        <v>104</v>
      </c>
      <c r="AE205" s="154">
        <f>AD205/AC205</f>
        <v>0.34551495016611294</v>
      </c>
    </row>
    <row r="206" spans="17:31" ht="10.050000000000001" customHeight="1" x14ac:dyDescent="0.2">
      <c r="Q206" s="148" t="s">
        <v>12</v>
      </c>
      <c r="R206" s="32">
        <v>3710</v>
      </c>
      <c r="S206" s="43">
        <v>2657</v>
      </c>
      <c r="T206" s="43"/>
      <c r="U206" s="34"/>
      <c r="V206" s="35">
        <v>2992</v>
      </c>
      <c r="W206" s="81">
        <v>1740</v>
      </c>
      <c r="X206" s="82">
        <v>775</v>
      </c>
      <c r="Y206" s="154">
        <f t="shared" si="58"/>
        <v>0.4454022988505747</v>
      </c>
      <c r="Z206" s="34"/>
      <c r="AA206" s="34"/>
      <c r="AB206" s="155"/>
      <c r="AC206" s="81">
        <v>762</v>
      </c>
      <c r="AD206" s="82">
        <v>286</v>
      </c>
      <c r="AE206" s="154">
        <f>AD206/AC206</f>
        <v>0.37532808398950129</v>
      </c>
    </row>
    <row r="207" spans="17:31" ht="10.050000000000001" customHeight="1" x14ac:dyDescent="0.2">
      <c r="Q207" s="148" t="s">
        <v>13</v>
      </c>
      <c r="R207" s="32">
        <v>10456</v>
      </c>
      <c r="S207" s="43">
        <v>10064</v>
      </c>
      <c r="T207" s="43"/>
      <c r="U207" s="34"/>
      <c r="V207" s="35">
        <v>7953</v>
      </c>
      <c r="W207" s="81">
        <v>9000</v>
      </c>
      <c r="X207" s="82">
        <v>3229</v>
      </c>
      <c r="Y207" s="154">
        <f t="shared" si="58"/>
        <v>0.35877777777777775</v>
      </c>
      <c r="Z207" s="34"/>
      <c r="AA207" s="34"/>
      <c r="AB207" s="155"/>
      <c r="AC207" s="81">
        <v>2018</v>
      </c>
      <c r="AD207" s="82">
        <v>565</v>
      </c>
      <c r="AE207" s="154">
        <f>AD207/AC207</f>
        <v>0.27998017839444994</v>
      </c>
    </row>
    <row r="208" spans="17:31" ht="10.050000000000001" customHeight="1" thickBot="1" x14ac:dyDescent="0.25">
      <c r="Q208" s="209" t="s">
        <v>0</v>
      </c>
      <c r="R208" s="36">
        <v>6479</v>
      </c>
      <c r="S208" s="44">
        <v>6457</v>
      </c>
      <c r="T208" s="44"/>
      <c r="U208" s="38"/>
      <c r="V208" s="83">
        <v>3149</v>
      </c>
      <c r="W208" s="84">
        <v>6019</v>
      </c>
      <c r="X208" s="85">
        <v>1643</v>
      </c>
      <c r="Y208" s="154">
        <f t="shared" si="58"/>
        <v>0.27296893171623193</v>
      </c>
      <c r="Z208" s="38"/>
      <c r="AA208" s="38"/>
      <c r="AB208" s="155"/>
      <c r="AC208" s="84">
        <v>1367</v>
      </c>
      <c r="AD208" s="85">
        <v>328</v>
      </c>
      <c r="AE208" s="156">
        <f>AD208/AC208</f>
        <v>0.23994147768836868</v>
      </c>
    </row>
    <row r="209" spans="17:31" ht="10.050000000000001" customHeight="1" x14ac:dyDescent="0.2">
      <c r="R209" s="157">
        <f t="shared" ref="R209:X209" si="59">SUM(R204:R208)</f>
        <v>70070</v>
      </c>
      <c r="S209" s="157">
        <f t="shared" si="59"/>
        <v>44805</v>
      </c>
      <c r="T209" s="157">
        <f t="shared" si="59"/>
        <v>0</v>
      </c>
      <c r="U209" s="157">
        <f>SUM(U204:U208)</f>
        <v>0</v>
      </c>
      <c r="V209" s="157">
        <f t="shared" si="59"/>
        <v>36661</v>
      </c>
      <c r="W209" s="160">
        <f t="shared" si="59"/>
        <v>19918</v>
      </c>
      <c r="X209" s="160">
        <f t="shared" si="59"/>
        <v>7231</v>
      </c>
      <c r="Y209" s="168">
        <f t="shared" si="58"/>
        <v>0.36303845767647352</v>
      </c>
      <c r="Z209" s="157">
        <f>SUM(Z204:Z208)</f>
        <v>0</v>
      </c>
      <c r="AA209" s="157">
        <f>SUM(AA204:AA208)</f>
        <v>0</v>
      </c>
      <c r="AB209" s="169"/>
      <c r="AC209" s="160">
        <f>SUM(AC204:AC208)</f>
        <v>4448</v>
      </c>
      <c r="AD209" s="160">
        <f>SUM(AD204:AD208)</f>
        <v>1283</v>
      </c>
      <c r="AE209" s="168">
        <f>AD209/AC209</f>
        <v>0.28844424460431656</v>
      </c>
    </row>
    <row r="210" spans="17:31" ht="10.050000000000001" customHeight="1" x14ac:dyDescent="0.2">
      <c r="R210" s="178"/>
      <c r="S210" s="178"/>
      <c r="T210" s="178"/>
      <c r="U210" s="178"/>
      <c r="V210" s="178"/>
      <c r="W210" s="178"/>
      <c r="X210" s="178"/>
      <c r="Y210" s="179"/>
      <c r="Z210" s="178"/>
      <c r="AA210" s="178"/>
      <c r="AB210" s="179"/>
      <c r="AC210" s="178"/>
      <c r="AD210" s="178"/>
      <c r="AE210" s="179"/>
    </row>
    <row r="211" spans="17:31" ht="10.050000000000001" customHeight="1" thickBot="1" x14ac:dyDescent="0.25">
      <c r="W211" s="177">
        <v>45936</v>
      </c>
    </row>
    <row r="212" spans="17:31" ht="10.050000000000001" customHeight="1" thickBot="1" x14ac:dyDescent="0.25">
      <c r="Q212" s="208"/>
      <c r="R212" s="142"/>
      <c r="S212" s="143"/>
      <c r="T212" s="143"/>
      <c r="U212" s="220" t="s">
        <v>1</v>
      </c>
      <c r="V212" s="144" t="s">
        <v>67</v>
      </c>
      <c r="W212" s="224" t="s">
        <v>2</v>
      </c>
      <c r="X212" s="225"/>
      <c r="Y212" s="226"/>
      <c r="Z212" s="233" t="s">
        <v>3</v>
      </c>
      <c r="AA212" s="234"/>
      <c r="AB212" s="235"/>
      <c r="AC212" s="224" t="s">
        <v>4</v>
      </c>
      <c r="AD212" s="225"/>
      <c r="AE212" s="226"/>
    </row>
    <row r="213" spans="17:31" ht="10.050000000000001" customHeight="1" x14ac:dyDescent="0.2">
      <c r="Q213" s="147"/>
      <c r="R213" s="145" t="s">
        <v>5</v>
      </c>
      <c r="S213" s="146" t="s">
        <v>6</v>
      </c>
      <c r="T213" s="146" t="s">
        <v>66</v>
      </c>
      <c r="U213" s="147" t="s">
        <v>7</v>
      </c>
      <c r="V213" s="148" t="s">
        <v>7</v>
      </c>
      <c r="W213" s="149" t="s">
        <v>7</v>
      </c>
      <c r="X213" s="150" t="s">
        <v>8</v>
      </c>
      <c r="Y213" s="151" t="s">
        <v>9</v>
      </c>
      <c r="Z213" s="147" t="s">
        <v>7</v>
      </c>
      <c r="AA213" s="152" t="s">
        <v>8</v>
      </c>
      <c r="AB213" s="153" t="s">
        <v>9</v>
      </c>
      <c r="AC213" s="149" t="s">
        <v>7</v>
      </c>
      <c r="AD213" s="150" t="s">
        <v>8</v>
      </c>
      <c r="AE213" s="151" t="s">
        <v>9</v>
      </c>
    </row>
    <row r="214" spans="17:31" ht="10.050000000000001" customHeight="1" x14ac:dyDescent="0.2">
      <c r="Q214" s="148" t="s">
        <v>10</v>
      </c>
      <c r="R214" s="32">
        <v>40105</v>
      </c>
      <c r="S214" s="33">
        <v>19592</v>
      </c>
      <c r="T214" s="33"/>
      <c r="U214" s="33"/>
      <c r="V214" s="35"/>
      <c r="W214" s="81">
        <v>13115</v>
      </c>
      <c r="X214" s="82">
        <v>6699</v>
      </c>
      <c r="Y214" s="154">
        <f t="shared" ref="Y214:Y219" si="60">X214/W214</f>
        <v>0.51078917270301183</v>
      </c>
      <c r="Z214" s="34"/>
      <c r="AA214" s="34"/>
      <c r="AB214" s="155"/>
      <c r="AC214" s="81"/>
      <c r="AD214" s="82"/>
      <c r="AE214" s="154"/>
    </row>
    <row r="215" spans="17:31" ht="10.050000000000001" customHeight="1" x14ac:dyDescent="0.2">
      <c r="Q215" s="148" t="s">
        <v>11</v>
      </c>
      <c r="R215" s="32">
        <v>9320</v>
      </c>
      <c r="S215" s="33">
        <v>7249</v>
      </c>
      <c r="T215" s="33"/>
      <c r="U215" s="33"/>
      <c r="V215" s="35"/>
      <c r="W215" s="81">
        <v>5826</v>
      </c>
      <c r="X215" s="82">
        <v>2795</v>
      </c>
      <c r="Y215" s="154">
        <f t="shared" si="60"/>
        <v>0.47974596635770683</v>
      </c>
      <c r="Z215" s="34"/>
      <c r="AA215" s="34"/>
      <c r="AB215" s="155"/>
      <c r="AC215" s="81">
        <v>370</v>
      </c>
      <c r="AD215" s="82">
        <v>132</v>
      </c>
      <c r="AE215" s="154">
        <f>AD215/AC215</f>
        <v>0.35675675675675678</v>
      </c>
    </row>
    <row r="216" spans="17:31" ht="10.050000000000001" customHeight="1" x14ac:dyDescent="0.2">
      <c r="Q216" s="148" t="s">
        <v>12</v>
      </c>
      <c r="R216" s="32">
        <v>3710</v>
      </c>
      <c r="S216" s="33">
        <v>2720</v>
      </c>
      <c r="T216" s="33"/>
      <c r="U216" s="33"/>
      <c r="V216" s="35"/>
      <c r="W216" s="81">
        <v>2176</v>
      </c>
      <c r="X216" s="82">
        <v>919</v>
      </c>
      <c r="Y216" s="154">
        <f t="shared" si="60"/>
        <v>0.42233455882352944</v>
      </c>
      <c r="Z216" s="34"/>
      <c r="AA216" s="34"/>
      <c r="AB216" s="155"/>
      <c r="AC216" s="81">
        <v>936</v>
      </c>
      <c r="AD216" s="82">
        <v>333</v>
      </c>
      <c r="AE216" s="154">
        <f>AD216/AC216</f>
        <v>0.35576923076923078</v>
      </c>
    </row>
    <row r="217" spans="17:31" ht="10.050000000000001" customHeight="1" x14ac:dyDescent="0.2">
      <c r="Q217" s="148" t="s">
        <v>13</v>
      </c>
      <c r="R217" s="32">
        <v>10456</v>
      </c>
      <c r="S217" s="33">
        <v>10101</v>
      </c>
      <c r="T217" s="33"/>
      <c r="U217" s="33"/>
      <c r="V217" s="35"/>
      <c r="W217" s="81"/>
      <c r="X217" s="82"/>
      <c r="Y217" s="154"/>
      <c r="Z217" s="34"/>
      <c r="AA217" s="34"/>
      <c r="AB217" s="155"/>
      <c r="AC217" s="81">
        <v>2116</v>
      </c>
      <c r="AD217" s="82">
        <v>514</v>
      </c>
      <c r="AE217" s="154">
        <f>AD217/AC217</f>
        <v>0.24291115311909262</v>
      </c>
    </row>
    <row r="218" spans="17:31" ht="10.050000000000001" customHeight="1" thickBot="1" x14ac:dyDescent="0.25">
      <c r="Q218" s="209" t="s">
        <v>0</v>
      </c>
      <c r="R218" s="36">
        <v>6479</v>
      </c>
      <c r="S218" s="37">
        <v>6460</v>
      </c>
      <c r="T218" s="37"/>
      <c r="U218" s="37"/>
      <c r="V218" s="83"/>
      <c r="W218" s="84"/>
      <c r="X218" s="85"/>
      <c r="Y218" s="156"/>
      <c r="Z218" s="38"/>
      <c r="AA218" s="38"/>
      <c r="AB218" s="155"/>
      <c r="AC218" s="84">
        <v>1688</v>
      </c>
      <c r="AD218" s="85">
        <v>384</v>
      </c>
      <c r="AE218" s="156">
        <f>AD218/AC218</f>
        <v>0.22748815165876776</v>
      </c>
    </row>
    <row r="219" spans="17:31" ht="10.050000000000001" customHeight="1" x14ac:dyDescent="0.2">
      <c r="Q219" s="162"/>
      <c r="R219" s="39">
        <f t="shared" ref="R219:X219" si="61">SUM(R214:R218)</f>
        <v>70070</v>
      </c>
      <c r="S219" s="39">
        <f t="shared" si="61"/>
        <v>46122</v>
      </c>
      <c r="T219" s="39">
        <f t="shared" si="61"/>
        <v>0</v>
      </c>
      <c r="U219" s="39">
        <f t="shared" si="61"/>
        <v>0</v>
      </c>
      <c r="V219" s="157">
        <f t="shared" si="61"/>
        <v>0</v>
      </c>
      <c r="W219" s="160">
        <f t="shared" si="61"/>
        <v>21117</v>
      </c>
      <c r="X219" s="160">
        <f t="shared" si="61"/>
        <v>10413</v>
      </c>
      <c r="Y219" s="161">
        <f t="shared" si="60"/>
        <v>0.49310981673533172</v>
      </c>
      <c r="Z219" s="157">
        <f>SUM(Z214:Z218)</f>
        <v>0</v>
      </c>
      <c r="AA219" s="157">
        <f>SUM(AA214:AA218)</f>
        <v>0</v>
      </c>
      <c r="AB219" s="159"/>
      <c r="AC219" s="160">
        <f>SUM(AC214:AC218)</f>
        <v>5110</v>
      </c>
      <c r="AD219" s="160">
        <f>SUM(AD214:AD218)</f>
        <v>1363</v>
      </c>
      <c r="AE219" s="161">
        <f>AD219/AC219</f>
        <v>0.26673189823874754</v>
      </c>
    </row>
    <row r="220" spans="17:31" ht="10.050000000000001" customHeight="1" thickBot="1" x14ac:dyDescent="0.25">
      <c r="Q220" s="210"/>
      <c r="R220" s="40"/>
      <c r="S220" s="40"/>
      <c r="T220" s="40"/>
      <c r="U220" s="162"/>
      <c r="V220" s="31"/>
      <c r="W220" s="162"/>
      <c r="X220" s="162"/>
      <c r="Y220" s="162"/>
      <c r="Z220" s="162"/>
      <c r="AA220" s="162"/>
      <c r="AB220" s="162"/>
      <c r="AC220" s="162"/>
      <c r="AD220" s="162"/>
      <c r="AE220" s="162"/>
    </row>
    <row r="221" spans="17:31" ht="10.050000000000001" customHeight="1" thickBot="1" x14ac:dyDescent="0.25">
      <c r="Q221" s="144"/>
      <c r="R221" s="41"/>
      <c r="S221" s="42"/>
      <c r="T221" s="42"/>
      <c r="U221" s="221" t="s">
        <v>1</v>
      </c>
      <c r="V221" s="144" t="s">
        <v>67</v>
      </c>
      <c r="W221" s="227" t="s">
        <v>2</v>
      </c>
      <c r="X221" s="228"/>
      <c r="Y221" s="229"/>
      <c r="Z221" s="230" t="s">
        <v>3</v>
      </c>
      <c r="AA221" s="231"/>
      <c r="AB221" s="232"/>
      <c r="AC221" s="227" t="s">
        <v>4</v>
      </c>
      <c r="AD221" s="228"/>
      <c r="AE221" s="229"/>
    </row>
    <row r="222" spans="17:31" ht="10.050000000000001" customHeight="1" x14ac:dyDescent="0.2">
      <c r="Q222" s="148"/>
      <c r="R222" s="145" t="s">
        <v>5</v>
      </c>
      <c r="S222" s="42" t="s">
        <v>6</v>
      </c>
      <c r="T222" s="56" t="s">
        <v>66</v>
      </c>
      <c r="U222" s="148" t="s">
        <v>7</v>
      </c>
      <c r="V222" s="148" t="s">
        <v>7</v>
      </c>
      <c r="W222" s="163" t="s">
        <v>7</v>
      </c>
      <c r="X222" s="164" t="s">
        <v>8</v>
      </c>
      <c r="Y222" s="165" t="s">
        <v>9</v>
      </c>
      <c r="Z222" s="148" t="s">
        <v>7</v>
      </c>
      <c r="AA222" s="166" t="s">
        <v>8</v>
      </c>
      <c r="AB222" s="167" t="s">
        <v>9</v>
      </c>
      <c r="AC222" s="163" t="s">
        <v>7</v>
      </c>
      <c r="AD222" s="164" t="s">
        <v>8</v>
      </c>
      <c r="AE222" s="165" t="s">
        <v>9</v>
      </c>
    </row>
    <row r="223" spans="17:31" ht="10.050000000000001" customHeight="1" x14ac:dyDescent="0.2">
      <c r="Q223" s="148" t="s">
        <v>10</v>
      </c>
      <c r="R223" s="32">
        <v>40105</v>
      </c>
      <c r="S223" s="43">
        <v>19592</v>
      </c>
      <c r="T223" s="43"/>
      <c r="U223" s="34"/>
      <c r="V223" s="35"/>
      <c r="W223" s="81">
        <v>13115</v>
      </c>
      <c r="X223" s="82">
        <v>6699</v>
      </c>
      <c r="Y223" s="154">
        <f t="shared" ref="Y223:Y228" si="62">X223/W223</f>
        <v>0.51078917270301183</v>
      </c>
      <c r="Z223" s="34"/>
      <c r="AA223" s="34"/>
      <c r="AB223" s="155"/>
      <c r="AC223" s="81"/>
      <c r="AD223" s="82"/>
      <c r="AE223" s="154"/>
    </row>
    <row r="224" spans="17:31" ht="10.050000000000001" customHeight="1" x14ac:dyDescent="0.2">
      <c r="Q224" s="148" t="s">
        <v>11</v>
      </c>
      <c r="R224" s="32">
        <v>9320</v>
      </c>
      <c r="S224" s="43">
        <v>7249</v>
      </c>
      <c r="T224" s="43"/>
      <c r="U224" s="34"/>
      <c r="V224" s="35"/>
      <c r="W224" s="81">
        <v>5826</v>
      </c>
      <c r="X224" s="82">
        <v>2795</v>
      </c>
      <c r="Y224" s="154">
        <f t="shared" si="62"/>
        <v>0.47974596635770683</v>
      </c>
      <c r="Z224" s="34"/>
      <c r="AA224" s="34"/>
      <c r="AB224" s="155"/>
      <c r="AC224" s="81">
        <v>361</v>
      </c>
      <c r="AD224" s="82">
        <v>129</v>
      </c>
      <c r="AE224" s="154">
        <f>AD224/AC224</f>
        <v>0.35734072022160662</v>
      </c>
    </row>
    <row r="225" spans="17:31" ht="10.050000000000001" customHeight="1" x14ac:dyDescent="0.2">
      <c r="Q225" s="148" t="s">
        <v>12</v>
      </c>
      <c r="R225" s="32">
        <v>3710</v>
      </c>
      <c r="S225" s="43">
        <v>2720</v>
      </c>
      <c r="T225" s="43"/>
      <c r="U225" s="34"/>
      <c r="V225" s="35"/>
      <c r="W225" s="81">
        <v>2176</v>
      </c>
      <c r="X225" s="82">
        <v>919</v>
      </c>
      <c r="Y225" s="154">
        <f t="shared" si="62"/>
        <v>0.42233455882352944</v>
      </c>
      <c r="Z225" s="34"/>
      <c r="AA225" s="34"/>
      <c r="AB225" s="155"/>
      <c r="AC225" s="81">
        <v>853</v>
      </c>
      <c r="AD225" s="82">
        <v>317</v>
      </c>
      <c r="AE225" s="154">
        <f>AD225/AC225</f>
        <v>0.37162954279015242</v>
      </c>
    </row>
    <row r="226" spans="17:31" ht="10.050000000000001" customHeight="1" x14ac:dyDescent="0.2">
      <c r="Q226" s="148" t="s">
        <v>13</v>
      </c>
      <c r="R226" s="32">
        <v>10456</v>
      </c>
      <c r="S226" s="43">
        <v>10101</v>
      </c>
      <c r="T226" s="43"/>
      <c r="U226" s="34"/>
      <c r="V226" s="35"/>
      <c r="W226" s="81"/>
      <c r="X226" s="82"/>
      <c r="Y226" s="154"/>
      <c r="Z226" s="34"/>
      <c r="AA226" s="34"/>
      <c r="AB226" s="155"/>
      <c r="AC226" s="81">
        <v>1805</v>
      </c>
      <c r="AD226" s="82">
        <v>464</v>
      </c>
      <c r="AE226" s="154">
        <f>AD226/AC226</f>
        <v>0.25706371191135735</v>
      </c>
    </row>
    <row r="227" spans="17:31" ht="10.050000000000001" customHeight="1" thickBot="1" x14ac:dyDescent="0.25">
      <c r="Q227" s="209" t="s">
        <v>0</v>
      </c>
      <c r="R227" s="36">
        <v>6479</v>
      </c>
      <c r="S227" s="44">
        <v>6460</v>
      </c>
      <c r="T227" s="44"/>
      <c r="U227" s="38"/>
      <c r="V227" s="83"/>
      <c r="W227" s="84"/>
      <c r="X227" s="85"/>
      <c r="Y227" s="156"/>
      <c r="Z227" s="38"/>
      <c r="AA227" s="38"/>
      <c r="AB227" s="155"/>
      <c r="AC227" s="84">
        <v>1442</v>
      </c>
      <c r="AD227" s="85">
        <v>352</v>
      </c>
      <c r="AE227" s="156">
        <f>AD227/AC227</f>
        <v>0.24410540915395285</v>
      </c>
    </row>
    <row r="228" spans="17:31" ht="10.050000000000001" customHeight="1" x14ac:dyDescent="0.2">
      <c r="R228" s="157">
        <f t="shared" ref="R228:X228" si="63">SUM(R223:R227)</f>
        <v>70070</v>
      </c>
      <c r="S228" s="157">
        <f t="shared" si="63"/>
        <v>46122</v>
      </c>
      <c r="T228" s="157">
        <f t="shared" si="63"/>
        <v>0</v>
      </c>
      <c r="U228" s="157">
        <f>SUM(U223:U227)</f>
        <v>0</v>
      </c>
      <c r="V228" s="157">
        <f t="shared" si="63"/>
        <v>0</v>
      </c>
      <c r="W228" s="160">
        <f t="shared" si="63"/>
        <v>21117</v>
      </c>
      <c r="X228" s="160">
        <f t="shared" si="63"/>
        <v>10413</v>
      </c>
      <c r="Y228" s="168">
        <f t="shared" si="62"/>
        <v>0.49310981673533172</v>
      </c>
      <c r="Z228" s="157">
        <f>SUM(Z223:Z227)</f>
        <v>0</v>
      </c>
      <c r="AA228" s="157">
        <f>SUM(AA223:AA227)</f>
        <v>0</v>
      </c>
      <c r="AB228" s="169"/>
      <c r="AC228" s="160">
        <f>SUM(AC223:AC227)</f>
        <v>4461</v>
      </c>
      <c r="AD228" s="160">
        <f>SUM(AD223:AD227)</f>
        <v>1262</v>
      </c>
      <c r="AE228" s="168">
        <f>AD228/AC228</f>
        <v>0.28289621161174622</v>
      </c>
    </row>
    <row r="229" spans="17:31" ht="10.050000000000001" customHeight="1" x14ac:dyDescent="0.2"/>
    <row r="230" spans="17:31" ht="10.050000000000001" customHeight="1" thickBot="1" x14ac:dyDescent="0.25">
      <c r="W230" s="177">
        <v>45935</v>
      </c>
    </row>
    <row r="231" spans="17:31" ht="10.050000000000001" customHeight="1" thickBot="1" x14ac:dyDescent="0.25">
      <c r="Q231" s="208"/>
      <c r="R231" s="142"/>
      <c r="S231" s="143"/>
      <c r="T231" s="143"/>
      <c r="U231" s="220" t="s">
        <v>1</v>
      </c>
      <c r="V231" s="144" t="s">
        <v>67</v>
      </c>
      <c r="W231" s="224" t="s">
        <v>2</v>
      </c>
      <c r="X231" s="225"/>
      <c r="Y231" s="226"/>
      <c r="Z231" s="233" t="s">
        <v>3</v>
      </c>
      <c r="AA231" s="234"/>
      <c r="AB231" s="235"/>
      <c r="AC231" s="224" t="s">
        <v>4</v>
      </c>
      <c r="AD231" s="225"/>
      <c r="AE231" s="226"/>
    </row>
    <row r="232" spans="17:31" ht="10.050000000000001" customHeight="1" x14ac:dyDescent="0.2">
      <c r="Q232" s="147"/>
      <c r="R232" s="145" t="s">
        <v>5</v>
      </c>
      <c r="S232" s="146" t="s">
        <v>6</v>
      </c>
      <c r="T232" s="146" t="s">
        <v>66</v>
      </c>
      <c r="U232" s="147" t="s">
        <v>7</v>
      </c>
      <c r="V232" s="148" t="s">
        <v>7</v>
      </c>
      <c r="W232" s="149" t="s">
        <v>7</v>
      </c>
      <c r="X232" s="150" t="s">
        <v>8</v>
      </c>
      <c r="Y232" s="151" t="s">
        <v>9</v>
      </c>
      <c r="Z232" s="147" t="s">
        <v>7</v>
      </c>
      <c r="AA232" s="152" t="s">
        <v>8</v>
      </c>
      <c r="AB232" s="153" t="s">
        <v>9</v>
      </c>
      <c r="AC232" s="149" t="s">
        <v>7</v>
      </c>
      <c r="AD232" s="150" t="s">
        <v>8</v>
      </c>
      <c r="AE232" s="151" t="s">
        <v>9</v>
      </c>
    </row>
    <row r="233" spans="17:31" ht="10.050000000000001" customHeight="1" x14ac:dyDescent="0.2">
      <c r="Q233" s="148" t="s">
        <v>10</v>
      </c>
      <c r="R233" s="32">
        <v>40105</v>
      </c>
      <c r="S233" s="33">
        <v>20734</v>
      </c>
      <c r="T233" s="33"/>
      <c r="U233" s="33"/>
      <c r="V233" s="35">
        <v>17615</v>
      </c>
      <c r="W233" s="81"/>
      <c r="X233" s="82"/>
      <c r="Y233" s="154"/>
      <c r="Z233" s="34"/>
      <c r="AA233" s="34"/>
      <c r="AB233" s="155"/>
      <c r="AC233" s="81"/>
      <c r="AD233" s="82"/>
      <c r="AE233" s="154"/>
    </row>
    <row r="234" spans="17:31" ht="10.050000000000001" customHeight="1" x14ac:dyDescent="0.2">
      <c r="Q234" s="148" t="s">
        <v>11</v>
      </c>
      <c r="R234" s="32">
        <v>9320</v>
      </c>
      <c r="S234" s="33">
        <v>7427</v>
      </c>
      <c r="T234" s="33"/>
      <c r="U234" s="33"/>
      <c r="V234" s="35">
        <v>7759</v>
      </c>
      <c r="W234" s="81"/>
      <c r="X234" s="82"/>
      <c r="Y234" s="154"/>
      <c r="Z234" s="34"/>
      <c r="AA234" s="34"/>
      <c r="AB234" s="155"/>
      <c r="AC234" s="81">
        <v>368</v>
      </c>
      <c r="AD234" s="82">
        <v>143</v>
      </c>
      <c r="AE234" s="154">
        <f>AD234/AC234</f>
        <v>0.38858695652173914</v>
      </c>
    </row>
    <row r="235" spans="17:31" ht="10.050000000000001" customHeight="1" x14ac:dyDescent="0.2">
      <c r="Q235" s="148" t="s">
        <v>12</v>
      </c>
      <c r="R235" s="32">
        <v>3710</v>
      </c>
      <c r="S235" s="33">
        <v>2802</v>
      </c>
      <c r="T235" s="33"/>
      <c r="U235" s="33"/>
      <c r="V235" s="35">
        <v>3058</v>
      </c>
      <c r="W235" s="81">
        <v>3084</v>
      </c>
      <c r="X235" s="82">
        <v>1249</v>
      </c>
      <c r="Y235" s="154">
        <f>X235/W235</f>
        <v>0.40499351491569391</v>
      </c>
      <c r="Z235" s="34"/>
      <c r="AA235" s="34"/>
      <c r="AB235" s="155"/>
      <c r="AC235" s="81">
        <v>472</v>
      </c>
      <c r="AD235" s="82">
        <v>162</v>
      </c>
      <c r="AE235" s="154">
        <f>AD235/AC235</f>
        <v>0.34322033898305082</v>
      </c>
    </row>
    <row r="236" spans="17:31" ht="10.050000000000001" customHeight="1" x14ac:dyDescent="0.2">
      <c r="Q236" s="148" t="s">
        <v>13</v>
      </c>
      <c r="R236" s="32">
        <v>10456</v>
      </c>
      <c r="S236" s="33">
        <v>10151</v>
      </c>
      <c r="T236" s="33"/>
      <c r="U236" s="33"/>
      <c r="V236" s="35">
        <v>8019</v>
      </c>
      <c r="W236" s="81">
        <v>11162</v>
      </c>
      <c r="X236" s="82">
        <v>3645</v>
      </c>
      <c r="Y236" s="154">
        <f>X236/W236</f>
        <v>0.32655438093531625</v>
      </c>
      <c r="Z236" s="34"/>
      <c r="AA236" s="34"/>
      <c r="AB236" s="155"/>
      <c r="AC236" s="81">
        <v>1633</v>
      </c>
      <c r="AD236" s="82">
        <v>457</v>
      </c>
      <c r="AE236" s="154">
        <f>AD236/AC236</f>
        <v>0.27985303123086341</v>
      </c>
    </row>
    <row r="237" spans="17:31" ht="10.050000000000001" customHeight="1" thickBot="1" x14ac:dyDescent="0.25">
      <c r="Q237" s="209" t="s">
        <v>0</v>
      </c>
      <c r="R237" s="36">
        <v>6479</v>
      </c>
      <c r="S237" s="37">
        <v>6466</v>
      </c>
      <c r="T237" s="37"/>
      <c r="U237" s="37"/>
      <c r="V237" s="83">
        <v>3152</v>
      </c>
      <c r="W237" s="84">
        <v>7034</v>
      </c>
      <c r="X237" s="85">
        <v>1872</v>
      </c>
      <c r="Y237" s="156">
        <f>X237/W237</f>
        <v>0.26613591128802955</v>
      </c>
      <c r="Z237" s="38"/>
      <c r="AA237" s="38"/>
      <c r="AB237" s="155"/>
      <c r="AC237" s="84">
        <v>1224</v>
      </c>
      <c r="AD237" s="85">
        <v>296</v>
      </c>
      <c r="AE237" s="156">
        <f>AD237/AC237</f>
        <v>0.24183006535947713</v>
      </c>
    </row>
    <row r="238" spans="17:31" ht="10.050000000000001" customHeight="1" x14ac:dyDescent="0.2">
      <c r="Q238" s="162"/>
      <c r="R238" s="39">
        <f t="shared" ref="R238:X238" si="64">SUM(R233:R237)</f>
        <v>70070</v>
      </c>
      <c r="S238" s="39">
        <f t="shared" si="64"/>
        <v>47580</v>
      </c>
      <c r="T238" s="39">
        <f t="shared" si="64"/>
        <v>0</v>
      </c>
      <c r="U238" s="39">
        <f t="shared" si="64"/>
        <v>0</v>
      </c>
      <c r="V238" s="157">
        <f t="shared" si="64"/>
        <v>39603</v>
      </c>
      <c r="W238" s="160">
        <f t="shared" si="64"/>
        <v>21280</v>
      </c>
      <c r="X238" s="160">
        <f t="shared" si="64"/>
        <v>6766</v>
      </c>
      <c r="Y238" s="161">
        <f>X238/W238</f>
        <v>0.31795112781954887</v>
      </c>
      <c r="Z238" s="157">
        <f>SUM(Z233:Z237)</f>
        <v>0</v>
      </c>
      <c r="AA238" s="157">
        <f>SUM(AA233:AA237)</f>
        <v>0</v>
      </c>
      <c r="AB238" s="159"/>
      <c r="AC238" s="160">
        <f>SUM(AC233:AC237)</f>
        <v>3697</v>
      </c>
      <c r="AD238" s="160">
        <f>SUM(AD233:AD237)</f>
        <v>1058</v>
      </c>
      <c r="AE238" s="161">
        <f>AD238/AC238</f>
        <v>0.2861779821476873</v>
      </c>
    </row>
    <row r="239" spans="17:31" ht="10.050000000000001" customHeight="1" thickBot="1" x14ac:dyDescent="0.25">
      <c r="Q239" s="210"/>
      <c r="R239" s="40"/>
      <c r="S239" s="40"/>
      <c r="T239" s="40"/>
      <c r="U239" s="162"/>
      <c r="V239" s="31"/>
      <c r="W239" s="162"/>
      <c r="X239" s="162"/>
      <c r="Y239" s="162"/>
      <c r="Z239" s="162"/>
      <c r="AA239" s="162"/>
      <c r="AB239" s="162"/>
      <c r="AC239" s="162"/>
      <c r="AD239" s="162"/>
      <c r="AE239" s="162"/>
    </row>
    <row r="240" spans="17:31" ht="10.050000000000001" customHeight="1" thickBot="1" x14ac:dyDescent="0.25">
      <c r="Q240" s="144"/>
      <c r="R240" s="41"/>
      <c r="S240" s="42"/>
      <c r="T240" s="42"/>
      <c r="U240" s="221" t="s">
        <v>1</v>
      </c>
      <c r="V240" s="144" t="s">
        <v>67</v>
      </c>
      <c r="W240" s="227" t="s">
        <v>2</v>
      </c>
      <c r="X240" s="228"/>
      <c r="Y240" s="229"/>
      <c r="Z240" s="230" t="s">
        <v>3</v>
      </c>
      <c r="AA240" s="231"/>
      <c r="AB240" s="232"/>
      <c r="AC240" s="227" t="s">
        <v>4</v>
      </c>
      <c r="AD240" s="228"/>
      <c r="AE240" s="229"/>
    </row>
    <row r="241" spans="17:31" ht="10.050000000000001" customHeight="1" x14ac:dyDescent="0.2">
      <c r="Q241" s="148"/>
      <c r="R241" s="145" t="s">
        <v>5</v>
      </c>
      <c r="S241" s="42" t="s">
        <v>6</v>
      </c>
      <c r="T241" s="56" t="s">
        <v>66</v>
      </c>
      <c r="U241" s="148" t="s">
        <v>7</v>
      </c>
      <c r="V241" s="148" t="s">
        <v>7</v>
      </c>
      <c r="W241" s="163" t="s">
        <v>7</v>
      </c>
      <c r="X241" s="164" t="s">
        <v>8</v>
      </c>
      <c r="Y241" s="165" t="s">
        <v>9</v>
      </c>
      <c r="Z241" s="148" t="s">
        <v>7</v>
      </c>
      <c r="AA241" s="166" t="s">
        <v>8</v>
      </c>
      <c r="AB241" s="167" t="s">
        <v>9</v>
      </c>
      <c r="AC241" s="163" t="s">
        <v>7</v>
      </c>
      <c r="AD241" s="164" t="s">
        <v>8</v>
      </c>
      <c r="AE241" s="165" t="s">
        <v>9</v>
      </c>
    </row>
    <row r="242" spans="17:31" ht="10.050000000000001" customHeight="1" x14ac:dyDescent="0.2">
      <c r="Q242" s="148" t="s">
        <v>10</v>
      </c>
      <c r="R242" s="32">
        <v>40105</v>
      </c>
      <c r="S242" s="43">
        <v>20734</v>
      </c>
      <c r="T242" s="43"/>
      <c r="U242" s="34"/>
      <c r="V242" s="35">
        <v>17615</v>
      </c>
      <c r="W242" s="81"/>
      <c r="X242" s="82"/>
      <c r="Y242" s="154"/>
      <c r="Z242" s="34"/>
      <c r="AA242" s="34"/>
      <c r="AB242" s="155"/>
      <c r="AC242" s="81"/>
      <c r="AD242" s="82"/>
      <c r="AE242" s="154"/>
    </row>
    <row r="243" spans="17:31" ht="10.050000000000001" customHeight="1" x14ac:dyDescent="0.2">
      <c r="Q243" s="148" t="s">
        <v>11</v>
      </c>
      <c r="R243" s="32">
        <v>9320</v>
      </c>
      <c r="S243" s="43">
        <v>7427</v>
      </c>
      <c r="T243" s="43"/>
      <c r="U243" s="34"/>
      <c r="V243" s="35">
        <v>7759</v>
      </c>
      <c r="W243" s="81"/>
      <c r="X243" s="82"/>
      <c r="Y243" s="154"/>
      <c r="Z243" s="34"/>
      <c r="AA243" s="34"/>
      <c r="AB243" s="155"/>
      <c r="AC243" s="81">
        <v>350</v>
      </c>
      <c r="AD243" s="82">
        <v>137</v>
      </c>
      <c r="AE243" s="154">
        <f>AD243/AC243</f>
        <v>0.3914285714285714</v>
      </c>
    </row>
    <row r="244" spans="17:31" ht="10.050000000000001" customHeight="1" x14ac:dyDescent="0.2">
      <c r="Q244" s="148" t="s">
        <v>12</v>
      </c>
      <c r="R244" s="32">
        <v>3710</v>
      </c>
      <c r="S244" s="43">
        <v>2802</v>
      </c>
      <c r="T244" s="43"/>
      <c r="U244" s="34"/>
      <c r="V244" s="35">
        <v>3058</v>
      </c>
      <c r="W244" s="81">
        <v>2819</v>
      </c>
      <c r="X244" s="82">
        <v>1249</v>
      </c>
      <c r="Y244" s="154">
        <f>X244/W244</f>
        <v>0.44306491663710534</v>
      </c>
      <c r="Z244" s="34"/>
      <c r="AA244" s="34"/>
      <c r="AB244" s="155"/>
      <c r="AC244" s="81">
        <v>429</v>
      </c>
      <c r="AD244" s="82">
        <v>154</v>
      </c>
      <c r="AE244" s="154">
        <f>AD244/AC244</f>
        <v>0.35897435897435898</v>
      </c>
    </row>
    <row r="245" spans="17:31" ht="10.050000000000001" customHeight="1" x14ac:dyDescent="0.2">
      <c r="Q245" s="148" t="s">
        <v>13</v>
      </c>
      <c r="R245" s="32">
        <v>10456</v>
      </c>
      <c r="S245" s="43">
        <v>10151</v>
      </c>
      <c r="T245" s="43"/>
      <c r="U245" s="34"/>
      <c r="V245" s="35">
        <v>8019</v>
      </c>
      <c r="W245" s="81">
        <v>10290</v>
      </c>
      <c r="X245" s="82">
        <v>3645</v>
      </c>
      <c r="Y245" s="154">
        <f>X245/W245</f>
        <v>0.35422740524781343</v>
      </c>
      <c r="Z245" s="34"/>
      <c r="AA245" s="34"/>
      <c r="AB245" s="155"/>
      <c r="AC245" s="81">
        <v>1443</v>
      </c>
      <c r="AD245" s="82">
        <v>409</v>
      </c>
      <c r="AE245" s="154">
        <f>AD245/AC245</f>
        <v>0.28343728343728342</v>
      </c>
    </row>
    <row r="246" spans="17:31" ht="10.050000000000001" customHeight="1" thickBot="1" x14ac:dyDescent="0.25">
      <c r="Q246" s="209" t="s">
        <v>0</v>
      </c>
      <c r="R246" s="36">
        <v>6479</v>
      </c>
      <c r="S246" s="44">
        <v>6466</v>
      </c>
      <c r="T246" s="44"/>
      <c r="U246" s="38"/>
      <c r="V246" s="83">
        <v>3152</v>
      </c>
      <c r="W246" s="84">
        <v>6455</v>
      </c>
      <c r="X246" s="85">
        <v>1872</v>
      </c>
      <c r="Y246" s="156">
        <f>X246/W246</f>
        <v>0.29000774593338496</v>
      </c>
      <c r="Z246" s="38"/>
      <c r="AA246" s="38"/>
      <c r="AB246" s="155"/>
      <c r="AC246" s="84">
        <v>1139</v>
      </c>
      <c r="AD246" s="85">
        <v>289</v>
      </c>
      <c r="AE246" s="156">
        <f>AD246/AC246</f>
        <v>0.2537313432835821</v>
      </c>
    </row>
    <row r="247" spans="17:31" ht="10.050000000000001" customHeight="1" x14ac:dyDescent="0.2">
      <c r="R247" s="157">
        <f t="shared" ref="R247:X247" si="65">SUM(R242:R246)</f>
        <v>70070</v>
      </c>
      <c r="S247" s="157">
        <f t="shared" si="65"/>
        <v>47580</v>
      </c>
      <c r="T247" s="157">
        <f t="shared" si="65"/>
        <v>0</v>
      </c>
      <c r="U247" s="157">
        <f>SUM(U242:U246)</f>
        <v>0</v>
      </c>
      <c r="V247" s="157">
        <f t="shared" si="65"/>
        <v>39603</v>
      </c>
      <c r="W247" s="160">
        <f t="shared" si="65"/>
        <v>19564</v>
      </c>
      <c r="X247" s="160">
        <f t="shared" si="65"/>
        <v>6766</v>
      </c>
      <c r="Y247" s="168">
        <f>X247/W247</f>
        <v>0.34583929666734819</v>
      </c>
      <c r="Z247" s="157">
        <f>SUM(Z242:Z246)</f>
        <v>0</v>
      </c>
      <c r="AA247" s="157">
        <f>SUM(AA242:AA246)</f>
        <v>0</v>
      </c>
      <c r="AB247" s="169"/>
      <c r="AC247" s="160">
        <f>SUM(AC242:AC246)</f>
        <v>3361</v>
      </c>
      <c r="AD247" s="160">
        <f>SUM(AD242:AD246)</f>
        <v>989</v>
      </c>
      <c r="AE247" s="168">
        <f>AD247/AC247</f>
        <v>0.29425766141029458</v>
      </c>
    </row>
    <row r="248" spans="17:31" ht="10.050000000000001" customHeight="1" x14ac:dyDescent="0.2"/>
    <row r="249" spans="17:31" ht="10.050000000000001" customHeight="1" thickBot="1" x14ac:dyDescent="0.25">
      <c r="W249" s="141" t="s">
        <v>93</v>
      </c>
    </row>
    <row r="250" spans="17:31" ht="10.050000000000001" customHeight="1" thickBot="1" x14ac:dyDescent="0.25">
      <c r="Q250" s="208"/>
      <c r="R250" s="142"/>
      <c r="S250" s="143"/>
      <c r="T250" s="143"/>
      <c r="U250" s="220" t="s">
        <v>1</v>
      </c>
      <c r="V250" s="144" t="s">
        <v>67</v>
      </c>
      <c r="W250" s="224" t="s">
        <v>2</v>
      </c>
      <c r="X250" s="225"/>
      <c r="Y250" s="226"/>
      <c r="Z250" s="233" t="s">
        <v>3</v>
      </c>
      <c r="AA250" s="234"/>
      <c r="AB250" s="235"/>
      <c r="AC250" s="224" t="s">
        <v>4</v>
      </c>
      <c r="AD250" s="225"/>
      <c r="AE250" s="226"/>
    </row>
    <row r="251" spans="17:31" ht="10.050000000000001" customHeight="1" x14ac:dyDescent="0.2">
      <c r="Q251" s="147"/>
      <c r="R251" s="145" t="s">
        <v>5</v>
      </c>
      <c r="S251" s="146" t="s">
        <v>6</v>
      </c>
      <c r="T251" s="146" t="s">
        <v>66</v>
      </c>
      <c r="U251" s="147" t="s">
        <v>7</v>
      </c>
      <c r="V251" s="148" t="s">
        <v>7</v>
      </c>
      <c r="W251" s="149" t="s">
        <v>7</v>
      </c>
      <c r="X251" s="150" t="s">
        <v>8</v>
      </c>
      <c r="Y251" s="151" t="s">
        <v>9</v>
      </c>
      <c r="Z251" s="147" t="s">
        <v>7</v>
      </c>
      <c r="AA251" s="152" t="s">
        <v>8</v>
      </c>
      <c r="AB251" s="153" t="s">
        <v>9</v>
      </c>
      <c r="AC251" s="149" t="s">
        <v>7</v>
      </c>
      <c r="AD251" s="150" t="s">
        <v>8</v>
      </c>
      <c r="AE251" s="151" t="s">
        <v>9</v>
      </c>
    </row>
    <row r="252" spans="17:31" ht="10.050000000000001" customHeight="1" x14ac:dyDescent="0.2">
      <c r="Q252" s="148" t="s">
        <v>10</v>
      </c>
      <c r="R252" s="32">
        <v>40105</v>
      </c>
      <c r="S252" s="33">
        <v>22343</v>
      </c>
      <c r="T252" s="33">
        <v>6271</v>
      </c>
      <c r="U252" s="33">
        <v>24487</v>
      </c>
      <c r="V252" s="35">
        <v>19702</v>
      </c>
      <c r="W252" s="81">
        <v>60645</v>
      </c>
      <c r="X252" s="82">
        <v>16666</v>
      </c>
      <c r="Y252" s="154">
        <f t="shared" ref="Y252:Y257" si="66">X252/W252</f>
        <v>0.27481243301178992</v>
      </c>
      <c r="Z252" s="34">
        <v>886</v>
      </c>
      <c r="AA252" s="34">
        <v>885</v>
      </c>
      <c r="AB252" s="155">
        <f t="shared" ref="AB252:AB257" si="67">AA252/Z252</f>
        <v>0.99887133182844245</v>
      </c>
      <c r="AC252" s="81"/>
      <c r="AD252" s="82"/>
      <c r="AE252" s="154"/>
    </row>
    <row r="253" spans="17:31" ht="10.050000000000001" customHeight="1" x14ac:dyDescent="0.2">
      <c r="Q253" s="148" t="s">
        <v>11</v>
      </c>
      <c r="R253" s="32">
        <v>9320</v>
      </c>
      <c r="S253" s="33">
        <v>7627</v>
      </c>
      <c r="T253" s="33">
        <v>2858</v>
      </c>
      <c r="U253" s="33">
        <v>9871</v>
      </c>
      <c r="V253" s="35">
        <v>7814</v>
      </c>
      <c r="W253" s="81">
        <v>12681</v>
      </c>
      <c r="X253" s="82">
        <v>6089</v>
      </c>
      <c r="Y253" s="154">
        <f t="shared" si="66"/>
        <v>0.48016717924453906</v>
      </c>
      <c r="Z253" s="34">
        <v>154</v>
      </c>
      <c r="AA253" s="34">
        <v>154</v>
      </c>
      <c r="AB253" s="155">
        <f t="shared" si="67"/>
        <v>1</v>
      </c>
      <c r="AC253" s="81">
        <v>146</v>
      </c>
      <c r="AD253" s="82">
        <v>57</v>
      </c>
      <c r="AE253" s="154">
        <f>AD253/AC253</f>
        <v>0.3904109589041096</v>
      </c>
    </row>
    <row r="254" spans="17:31" ht="10.050000000000001" customHeight="1" x14ac:dyDescent="0.2">
      <c r="Q254" s="148" t="s">
        <v>12</v>
      </c>
      <c r="R254" s="32">
        <v>3710</v>
      </c>
      <c r="S254" s="33">
        <v>2908</v>
      </c>
      <c r="T254" s="33">
        <v>1397</v>
      </c>
      <c r="U254" s="33">
        <v>3935</v>
      </c>
      <c r="V254" s="35">
        <v>3070</v>
      </c>
      <c r="W254" s="81">
        <v>3839</v>
      </c>
      <c r="X254" s="82">
        <v>2186</v>
      </c>
      <c r="Y254" s="154">
        <f t="shared" si="66"/>
        <v>0.569419119562386</v>
      </c>
      <c r="Z254" s="34">
        <v>3012</v>
      </c>
      <c r="AA254" s="34">
        <v>3006</v>
      </c>
      <c r="AB254" s="155">
        <f t="shared" si="67"/>
        <v>0.99800796812749004</v>
      </c>
      <c r="AC254" s="81">
        <v>590</v>
      </c>
      <c r="AD254" s="82">
        <v>223</v>
      </c>
      <c r="AE254" s="154">
        <f>AD254/AC254</f>
        <v>0.37796610169491524</v>
      </c>
    </row>
    <row r="255" spans="17:31" ht="10.050000000000001" customHeight="1" x14ac:dyDescent="0.2">
      <c r="Q255" s="148" t="s">
        <v>13</v>
      </c>
      <c r="R255" s="32">
        <v>10456</v>
      </c>
      <c r="S255" s="33">
        <v>10210</v>
      </c>
      <c r="T255" s="33">
        <v>3776</v>
      </c>
      <c r="U255" s="33">
        <v>11469</v>
      </c>
      <c r="V255" s="35">
        <v>8022</v>
      </c>
      <c r="W255" s="81">
        <v>10730</v>
      </c>
      <c r="X255" s="82">
        <v>6631</v>
      </c>
      <c r="Y255" s="154">
        <f t="shared" si="66"/>
        <v>0.61798695246971114</v>
      </c>
      <c r="Z255" s="34">
        <v>1695</v>
      </c>
      <c r="AA255" s="34">
        <v>1674</v>
      </c>
      <c r="AB255" s="155">
        <f t="shared" si="67"/>
        <v>0.98761061946902651</v>
      </c>
      <c r="AC255" s="81">
        <v>1637</v>
      </c>
      <c r="AD255" s="82">
        <v>407</v>
      </c>
      <c r="AE255" s="154">
        <f>AD255/AC255</f>
        <v>0.24862553451435554</v>
      </c>
    </row>
    <row r="256" spans="17:31" ht="10.050000000000001" customHeight="1" thickBot="1" x14ac:dyDescent="0.25">
      <c r="Q256" s="209" t="s">
        <v>0</v>
      </c>
      <c r="R256" s="36">
        <v>6479</v>
      </c>
      <c r="S256" s="37">
        <v>6472</v>
      </c>
      <c r="T256" s="37">
        <v>3394</v>
      </c>
      <c r="U256" s="37">
        <v>7403</v>
      </c>
      <c r="V256" s="83">
        <v>3152</v>
      </c>
      <c r="W256" s="84">
        <v>7163</v>
      </c>
      <c r="X256" s="85">
        <v>3081</v>
      </c>
      <c r="Y256" s="156">
        <f t="shared" si="66"/>
        <v>0.43012704174228678</v>
      </c>
      <c r="Z256" s="38">
        <v>1525</v>
      </c>
      <c r="AA256" s="38">
        <v>1444</v>
      </c>
      <c r="AB256" s="155">
        <f t="shared" si="67"/>
        <v>0.94688524590163936</v>
      </c>
      <c r="AC256" s="84">
        <v>995</v>
      </c>
      <c r="AD256" s="85">
        <v>180</v>
      </c>
      <c r="AE256" s="156">
        <f>AD256/AC256</f>
        <v>0.18090452261306533</v>
      </c>
    </row>
    <row r="257" spans="17:31" ht="10.050000000000001" customHeight="1" x14ac:dyDescent="0.2">
      <c r="Q257" s="162"/>
      <c r="R257" s="39">
        <f t="shared" ref="R257:X257" si="68">SUM(R252:R256)</f>
        <v>70070</v>
      </c>
      <c r="S257" s="39">
        <f t="shared" si="68"/>
        <v>49560</v>
      </c>
      <c r="T257" s="39">
        <f t="shared" si="68"/>
        <v>17696</v>
      </c>
      <c r="U257" s="39">
        <f t="shared" si="68"/>
        <v>57165</v>
      </c>
      <c r="V257" s="157">
        <f t="shared" si="68"/>
        <v>41760</v>
      </c>
      <c r="W257" s="160">
        <f t="shared" si="68"/>
        <v>95058</v>
      </c>
      <c r="X257" s="160">
        <f t="shared" si="68"/>
        <v>34653</v>
      </c>
      <c r="Y257" s="161">
        <f t="shared" si="66"/>
        <v>0.36454585621410085</v>
      </c>
      <c r="Z257" s="157">
        <f>SUM(Z252:Z256)</f>
        <v>7272</v>
      </c>
      <c r="AA257" s="157">
        <f>SUM(AA252:AA256)</f>
        <v>7163</v>
      </c>
      <c r="AB257" s="159">
        <f t="shared" si="67"/>
        <v>0.98501100110010997</v>
      </c>
      <c r="AC257" s="160">
        <f>SUM(AC252:AC256)</f>
        <v>3368</v>
      </c>
      <c r="AD257" s="160">
        <f>SUM(AD252:AD256)</f>
        <v>867</v>
      </c>
      <c r="AE257" s="161">
        <f>AD257/AC257</f>
        <v>0.25742280285035629</v>
      </c>
    </row>
    <row r="258" spans="17:31" ht="10.050000000000001" customHeight="1" thickBot="1" x14ac:dyDescent="0.25">
      <c r="Q258" s="210"/>
      <c r="R258" s="40"/>
      <c r="S258" s="40"/>
      <c r="T258" s="40"/>
      <c r="U258" s="162"/>
      <c r="V258" s="31"/>
      <c r="W258" s="162"/>
      <c r="X258" s="162"/>
      <c r="Y258" s="162"/>
      <c r="Z258" s="162"/>
      <c r="AA258" s="162"/>
      <c r="AB258" s="162"/>
      <c r="AC258" s="162"/>
      <c r="AD258" s="162"/>
      <c r="AE258" s="162"/>
    </row>
    <row r="259" spans="17:31" ht="10.050000000000001" customHeight="1" thickBot="1" x14ac:dyDescent="0.25">
      <c r="Q259" s="144"/>
      <c r="R259" s="41"/>
      <c r="S259" s="42"/>
      <c r="T259" s="42"/>
      <c r="U259" s="221" t="s">
        <v>1</v>
      </c>
      <c r="V259" s="144" t="s">
        <v>67</v>
      </c>
      <c r="W259" s="227" t="s">
        <v>2</v>
      </c>
      <c r="X259" s="228"/>
      <c r="Y259" s="229"/>
      <c r="Z259" s="230" t="s">
        <v>3</v>
      </c>
      <c r="AA259" s="231"/>
      <c r="AB259" s="232"/>
      <c r="AC259" s="227" t="s">
        <v>4</v>
      </c>
      <c r="AD259" s="228"/>
      <c r="AE259" s="229"/>
    </row>
    <row r="260" spans="17:31" ht="10.050000000000001" customHeight="1" x14ac:dyDescent="0.2">
      <c r="Q260" s="148"/>
      <c r="R260" s="145" t="s">
        <v>5</v>
      </c>
      <c r="S260" s="42" t="s">
        <v>6</v>
      </c>
      <c r="T260" s="56" t="s">
        <v>66</v>
      </c>
      <c r="U260" s="148" t="s">
        <v>7</v>
      </c>
      <c r="V260" s="148" t="s">
        <v>7</v>
      </c>
      <c r="W260" s="163" t="s">
        <v>7</v>
      </c>
      <c r="X260" s="164" t="s">
        <v>8</v>
      </c>
      <c r="Y260" s="165" t="s">
        <v>9</v>
      </c>
      <c r="Z260" s="148" t="s">
        <v>7</v>
      </c>
      <c r="AA260" s="166" t="s">
        <v>8</v>
      </c>
      <c r="AB260" s="167" t="s">
        <v>9</v>
      </c>
      <c r="AC260" s="163" t="s">
        <v>7</v>
      </c>
      <c r="AD260" s="164" t="s">
        <v>8</v>
      </c>
      <c r="AE260" s="165" t="s">
        <v>9</v>
      </c>
    </row>
    <row r="261" spans="17:31" ht="10.050000000000001" customHeight="1" x14ac:dyDescent="0.2">
      <c r="Q261" s="148" t="s">
        <v>10</v>
      </c>
      <c r="R261" s="32">
        <v>40105</v>
      </c>
      <c r="S261" s="43">
        <v>22343</v>
      </c>
      <c r="T261" s="43">
        <v>6271</v>
      </c>
      <c r="U261" s="34">
        <v>22760</v>
      </c>
      <c r="V261" s="35">
        <v>19702</v>
      </c>
      <c r="W261" s="81">
        <v>29542</v>
      </c>
      <c r="X261" s="82">
        <v>16666</v>
      </c>
      <c r="Y261" s="154">
        <f t="shared" ref="Y261:Y266" si="69">X261/W261</f>
        <v>0.56414596168167352</v>
      </c>
      <c r="Z261" s="34">
        <v>886</v>
      </c>
      <c r="AA261" s="34">
        <v>885</v>
      </c>
      <c r="AB261" s="155">
        <f t="shared" ref="AB261:AB266" si="70">AA261/Z261</f>
        <v>0.99887133182844245</v>
      </c>
      <c r="AC261" s="81"/>
      <c r="AD261" s="82"/>
      <c r="AE261" s="154"/>
    </row>
    <row r="262" spans="17:31" ht="10.050000000000001" customHeight="1" x14ac:dyDescent="0.2">
      <c r="Q262" s="148" t="s">
        <v>11</v>
      </c>
      <c r="R262" s="32">
        <v>9320</v>
      </c>
      <c r="S262" s="43">
        <v>7627</v>
      </c>
      <c r="T262" s="43">
        <v>2858</v>
      </c>
      <c r="U262" s="34">
        <v>8902</v>
      </c>
      <c r="V262" s="35">
        <v>7814</v>
      </c>
      <c r="W262" s="81">
        <v>9065</v>
      </c>
      <c r="X262" s="82">
        <v>6089</v>
      </c>
      <c r="Y262" s="154">
        <f t="shared" si="69"/>
        <v>0.67170435741864309</v>
      </c>
      <c r="Z262" s="34">
        <v>154</v>
      </c>
      <c r="AA262" s="34">
        <v>154</v>
      </c>
      <c r="AB262" s="155">
        <f t="shared" si="70"/>
        <v>1</v>
      </c>
      <c r="AC262" s="81">
        <v>141</v>
      </c>
      <c r="AD262" s="82">
        <v>55</v>
      </c>
      <c r="AE262" s="154">
        <f>AD262/AC262</f>
        <v>0.39007092198581561</v>
      </c>
    </row>
    <row r="263" spans="17:31" ht="10.050000000000001" customHeight="1" x14ac:dyDescent="0.2">
      <c r="Q263" s="148" t="s">
        <v>12</v>
      </c>
      <c r="R263" s="32">
        <v>3710</v>
      </c>
      <c r="S263" s="43">
        <v>2908</v>
      </c>
      <c r="T263" s="43">
        <v>1397</v>
      </c>
      <c r="U263" s="34">
        <v>3554</v>
      </c>
      <c r="V263" s="35">
        <v>3070</v>
      </c>
      <c r="W263" s="81">
        <v>3625</v>
      </c>
      <c r="X263" s="82">
        <v>2186</v>
      </c>
      <c r="Y263" s="154">
        <f t="shared" si="69"/>
        <v>0.6030344827586207</v>
      </c>
      <c r="Z263" s="34">
        <v>3010</v>
      </c>
      <c r="AA263" s="34">
        <v>3004</v>
      </c>
      <c r="AB263" s="155">
        <f t="shared" si="70"/>
        <v>0.99800664451827248</v>
      </c>
      <c r="AC263" s="81">
        <v>532</v>
      </c>
      <c r="AD263" s="82">
        <v>207</v>
      </c>
      <c r="AE263" s="154">
        <f>AD263/AC263</f>
        <v>0.38909774436090228</v>
      </c>
    </row>
    <row r="264" spans="17:31" ht="10.050000000000001" customHeight="1" x14ac:dyDescent="0.2">
      <c r="Q264" s="148" t="s">
        <v>13</v>
      </c>
      <c r="R264" s="32">
        <v>10456</v>
      </c>
      <c r="S264" s="43">
        <v>10210</v>
      </c>
      <c r="T264" s="43">
        <v>3776</v>
      </c>
      <c r="U264" s="34">
        <v>10366</v>
      </c>
      <c r="V264" s="35">
        <v>8022</v>
      </c>
      <c r="W264" s="81">
        <v>10423</v>
      </c>
      <c r="X264" s="82">
        <v>6631</v>
      </c>
      <c r="Y264" s="154">
        <f t="shared" si="69"/>
        <v>0.63618919696824328</v>
      </c>
      <c r="Z264" s="34">
        <v>1691</v>
      </c>
      <c r="AA264" s="34">
        <v>1670</v>
      </c>
      <c r="AB264" s="155">
        <f t="shared" si="70"/>
        <v>0.98758131283264339</v>
      </c>
      <c r="AC264" s="81">
        <v>1451</v>
      </c>
      <c r="AD264" s="82">
        <v>371</v>
      </c>
      <c r="AE264" s="154">
        <f>AD264/AC264</f>
        <v>0.25568573397656791</v>
      </c>
    </row>
    <row r="265" spans="17:31" ht="10.050000000000001" customHeight="1" thickBot="1" x14ac:dyDescent="0.25">
      <c r="Q265" s="209" t="s">
        <v>0</v>
      </c>
      <c r="R265" s="36">
        <v>6479</v>
      </c>
      <c r="S265" s="44">
        <v>6472</v>
      </c>
      <c r="T265" s="44">
        <v>3394</v>
      </c>
      <c r="U265" s="38">
        <v>6467</v>
      </c>
      <c r="V265" s="83">
        <v>3152</v>
      </c>
      <c r="W265" s="84">
        <v>6478</v>
      </c>
      <c r="X265" s="85">
        <v>3081</v>
      </c>
      <c r="Y265" s="156">
        <f t="shared" si="69"/>
        <v>0.47560975609756095</v>
      </c>
      <c r="Z265" s="38">
        <v>1525</v>
      </c>
      <c r="AA265" s="38">
        <v>1444</v>
      </c>
      <c r="AB265" s="155">
        <f t="shared" si="70"/>
        <v>0.94688524590163936</v>
      </c>
      <c r="AC265" s="84">
        <v>878</v>
      </c>
      <c r="AD265" s="85">
        <v>171</v>
      </c>
      <c r="AE265" s="156">
        <f>AD265/AC265</f>
        <v>0.19476082004555809</v>
      </c>
    </row>
    <row r="266" spans="17:31" ht="10.050000000000001" customHeight="1" x14ac:dyDescent="0.2">
      <c r="R266" s="157">
        <f t="shared" ref="R266:X266" si="71">SUM(R261:R265)</f>
        <v>70070</v>
      </c>
      <c r="S266" s="157">
        <f t="shared" si="71"/>
        <v>49560</v>
      </c>
      <c r="T266" s="157">
        <f t="shared" si="71"/>
        <v>17696</v>
      </c>
      <c r="U266" s="157">
        <f>SUM(U261:U265)</f>
        <v>52049</v>
      </c>
      <c r="V266" s="157">
        <f t="shared" si="71"/>
        <v>41760</v>
      </c>
      <c r="W266" s="160">
        <f t="shared" si="71"/>
        <v>59133</v>
      </c>
      <c r="X266" s="160">
        <f t="shared" si="71"/>
        <v>34653</v>
      </c>
      <c r="Y266" s="168">
        <f t="shared" si="69"/>
        <v>0.58601795951499158</v>
      </c>
      <c r="Z266" s="157">
        <f>SUM(Z261:Z265)</f>
        <v>7266</v>
      </c>
      <c r="AA266" s="157">
        <f>SUM(AA261:AA265)</f>
        <v>7157</v>
      </c>
      <c r="AB266" s="169">
        <f t="shared" si="70"/>
        <v>0.98499862372694746</v>
      </c>
      <c r="AC266" s="160">
        <f>SUM(AC261:AC265)</f>
        <v>3002</v>
      </c>
      <c r="AD266" s="160">
        <f>SUM(AD261:AD265)</f>
        <v>804</v>
      </c>
      <c r="AE266" s="168">
        <f>AD266/AC266</f>
        <v>0.26782145236508992</v>
      </c>
    </row>
    <row r="268" spans="17:31" ht="10.8" thickBot="1" x14ac:dyDescent="0.25">
      <c r="W268" s="170">
        <v>45931</v>
      </c>
    </row>
    <row r="269" spans="17:31" ht="10.8" thickBot="1" x14ac:dyDescent="0.25">
      <c r="Q269" s="208"/>
      <c r="R269" s="142"/>
      <c r="S269" s="143"/>
      <c r="T269" s="143"/>
      <c r="U269" s="220" t="s">
        <v>1</v>
      </c>
      <c r="V269" s="144" t="s">
        <v>67</v>
      </c>
      <c r="W269" s="224" t="s">
        <v>2</v>
      </c>
      <c r="X269" s="225"/>
      <c r="Y269" s="226"/>
      <c r="Z269" s="233" t="s">
        <v>3</v>
      </c>
      <c r="AA269" s="234"/>
      <c r="AB269" s="235"/>
      <c r="AC269" s="224" t="s">
        <v>4</v>
      </c>
      <c r="AD269" s="225"/>
      <c r="AE269" s="226"/>
    </row>
    <row r="270" spans="17:31" x14ac:dyDescent="0.2">
      <c r="Q270" s="147"/>
      <c r="R270" s="145" t="s">
        <v>5</v>
      </c>
      <c r="S270" s="146" t="s">
        <v>6</v>
      </c>
      <c r="T270" s="146" t="s">
        <v>66</v>
      </c>
      <c r="U270" s="147" t="s">
        <v>7</v>
      </c>
      <c r="V270" s="148" t="s">
        <v>7</v>
      </c>
      <c r="W270" s="149" t="s">
        <v>7</v>
      </c>
      <c r="X270" s="150" t="s">
        <v>8</v>
      </c>
      <c r="Y270" s="151" t="s">
        <v>9</v>
      </c>
      <c r="Z270" s="147" t="s">
        <v>7</v>
      </c>
      <c r="AA270" s="152" t="s">
        <v>8</v>
      </c>
      <c r="AB270" s="153" t="s">
        <v>9</v>
      </c>
      <c r="AC270" s="149" t="s">
        <v>7</v>
      </c>
      <c r="AD270" s="150" t="s">
        <v>8</v>
      </c>
      <c r="AE270" s="151" t="s">
        <v>9</v>
      </c>
    </row>
    <row r="271" spans="17:31" x14ac:dyDescent="0.2">
      <c r="Q271" s="148" t="s">
        <v>10</v>
      </c>
      <c r="R271" s="32">
        <v>40105</v>
      </c>
      <c r="S271" s="33"/>
      <c r="T271" s="33"/>
      <c r="U271" s="33"/>
      <c r="V271" s="35">
        <v>31409</v>
      </c>
      <c r="W271" s="81">
        <v>18767</v>
      </c>
      <c r="X271" s="82">
        <v>10685</v>
      </c>
      <c r="Y271" s="154">
        <f t="shared" ref="Y271:Y276" si="72">X271/W271</f>
        <v>0.56935045558693453</v>
      </c>
      <c r="Z271" s="34"/>
      <c r="AA271" s="34"/>
      <c r="AB271" s="155"/>
      <c r="AC271" s="81">
        <v>5</v>
      </c>
      <c r="AD271" s="82">
        <v>4</v>
      </c>
      <c r="AE271" s="154"/>
    </row>
    <row r="272" spans="17:31" x14ac:dyDescent="0.2">
      <c r="Q272" s="148" t="s">
        <v>11</v>
      </c>
      <c r="R272" s="32">
        <v>9320</v>
      </c>
      <c r="S272" s="33"/>
      <c r="T272" s="33"/>
      <c r="U272" s="33"/>
      <c r="V272" s="35">
        <v>8061</v>
      </c>
      <c r="W272" s="81">
        <v>130</v>
      </c>
      <c r="X272" s="82">
        <v>74</v>
      </c>
      <c r="Y272" s="154">
        <f t="shared" si="72"/>
        <v>0.56923076923076921</v>
      </c>
      <c r="Z272" s="34"/>
      <c r="AA272" s="34"/>
      <c r="AB272" s="155"/>
      <c r="AC272" s="81">
        <v>1</v>
      </c>
      <c r="AD272" s="82">
        <v>1</v>
      </c>
      <c r="AE272" s="154">
        <f>AD272/AC272</f>
        <v>1</v>
      </c>
    </row>
    <row r="273" spans="17:31" x14ac:dyDescent="0.2">
      <c r="Q273" s="148" t="s">
        <v>12</v>
      </c>
      <c r="R273" s="32">
        <v>3710</v>
      </c>
      <c r="S273" s="33"/>
      <c r="T273" s="33"/>
      <c r="U273" s="33"/>
      <c r="V273" s="35">
        <v>3163</v>
      </c>
      <c r="W273" s="81">
        <v>32</v>
      </c>
      <c r="X273" s="82">
        <v>19</v>
      </c>
      <c r="Y273" s="154">
        <f t="shared" si="72"/>
        <v>0.59375</v>
      </c>
      <c r="Z273" s="34"/>
      <c r="AA273" s="34"/>
      <c r="AB273" s="155"/>
      <c r="AC273" s="81">
        <v>80</v>
      </c>
      <c r="AD273" s="82">
        <v>27</v>
      </c>
      <c r="AE273" s="154">
        <f>AD273/AC273</f>
        <v>0.33750000000000002</v>
      </c>
    </row>
    <row r="274" spans="17:31" x14ac:dyDescent="0.2">
      <c r="Q274" s="148" t="s">
        <v>13</v>
      </c>
      <c r="R274" s="32">
        <v>10456</v>
      </c>
      <c r="S274" s="33"/>
      <c r="T274" s="33"/>
      <c r="U274" s="33"/>
      <c r="V274" s="35">
        <v>8080</v>
      </c>
      <c r="W274" s="81">
        <v>5</v>
      </c>
      <c r="X274" s="82">
        <v>2</v>
      </c>
      <c r="Y274" s="154">
        <f t="shared" si="72"/>
        <v>0.4</v>
      </c>
      <c r="Z274" s="34"/>
      <c r="AA274" s="34"/>
      <c r="AB274" s="155"/>
      <c r="AC274" s="81">
        <v>292</v>
      </c>
      <c r="AD274" s="82">
        <v>73</v>
      </c>
      <c r="AE274" s="154">
        <f>AD274/AC274</f>
        <v>0.25</v>
      </c>
    </row>
    <row r="275" spans="17:31" ht="10.8" thickBot="1" x14ac:dyDescent="0.25">
      <c r="Q275" s="209" t="s">
        <v>0</v>
      </c>
      <c r="R275" s="36">
        <v>6479</v>
      </c>
      <c r="S275" s="37"/>
      <c r="T275" s="37"/>
      <c r="U275" s="37"/>
      <c r="V275" s="83">
        <v>3159</v>
      </c>
      <c r="W275" s="84">
        <v>2</v>
      </c>
      <c r="X275" s="85"/>
      <c r="Y275" s="156">
        <f t="shared" si="72"/>
        <v>0</v>
      </c>
      <c r="Z275" s="38"/>
      <c r="AA275" s="38"/>
      <c r="AB275" s="155"/>
      <c r="AC275" s="84">
        <v>255</v>
      </c>
      <c r="AD275" s="85">
        <v>65</v>
      </c>
      <c r="AE275" s="156">
        <f>AD275/AC275</f>
        <v>0.25490196078431371</v>
      </c>
    </row>
    <row r="276" spans="17:31" x14ac:dyDescent="0.2">
      <c r="Q276" s="162"/>
      <c r="R276" s="39">
        <f>SUM(R271:R275)</f>
        <v>70070</v>
      </c>
      <c r="S276" s="39">
        <f t="shared" ref="S276:X276" si="73">SUM(S271:S275)</f>
        <v>0</v>
      </c>
      <c r="T276" s="39">
        <f t="shared" si="73"/>
        <v>0</v>
      </c>
      <c r="U276" s="39">
        <f t="shared" si="73"/>
        <v>0</v>
      </c>
      <c r="V276" s="157">
        <f t="shared" si="73"/>
        <v>53872</v>
      </c>
      <c r="W276" s="157">
        <f t="shared" si="73"/>
        <v>18936</v>
      </c>
      <c r="X276" s="157">
        <f t="shared" si="73"/>
        <v>10780</v>
      </c>
      <c r="Y276" s="158">
        <f t="shared" si="72"/>
        <v>0.56928601605407692</v>
      </c>
      <c r="Z276" s="157">
        <f>SUM(Z271:Z275)</f>
        <v>0</v>
      </c>
      <c r="AA276" s="157">
        <f>SUM(AA271:AA275)</f>
        <v>0</v>
      </c>
      <c r="AB276" s="159"/>
      <c r="AC276" s="160">
        <f>SUM(AC271:AC275)</f>
        <v>633</v>
      </c>
      <c r="AD276" s="160">
        <f>SUM(AD271:AD275)</f>
        <v>170</v>
      </c>
      <c r="AE276" s="161">
        <f>AD276/AC276</f>
        <v>0.26856240126382308</v>
      </c>
    </row>
    <row r="277" spans="17:31" ht="10.8" thickBot="1" x14ac:dyDescent="0.25">
      <c r="Q277" s="210"/>
      <c r="R277" s="40"/>
      <c r="S277" s="40"/>
      <c r="T277" s="40"/>
      <c r="U277" s="162"/>
      <c r="V277" s="31"/>
      <c r="W277" s="162"/>
      <c r="X277" s="162"/>
      <c r="Y277" s="162"/>
      <c r="Z277" s="162"/>
      <c r="AA277" s="162"/>
      <c r="AB277" s="162"/>
      <c r="AC277" s="162"/>
      <c r="AD277" s="162"/>
      <c r="AE277" s="162"/>
    </row>
    <row r="278" spans="17:31" ht="10.8" thickBot="1" x14ac:dyDescent="0.25">
      <c r="Q278" s="144"/>
      <c r="R278" s="41"/>
      <c r="S278" s="42"/>
      <c r="T278" s="42"/>
      <c r="U278" s="221" t="s">
        <v>1</v>
      </c>
      <c r="V278" s="144" t="s">
        <v>67</v>
      </c>
      <c r="W278" s="227" t="s">
        <v>2</v>
      </c>
      <c r="X278" s="228"/>
      <c r="Y278" s="229"/>
      <c r="Z278" s="230" t="s">
        <v>3</v>
      </c>
      <c r="AA278" s="231"/>
      <c r="AB278" s="232"/>
      <c r="AC278" s="227" t="s">
        <v>4</v>
      </c>
      <c r="AD278" s="228"/>
      <c r="AE278" s="229"/>
    </row>
    <row r="279" spans="17:31" x14ac:dyDescent="0.2">
      <c r="Q279" s="148"/>
      <c r="R279" s="145" t="s">
        <v>5</v>
      </c>
      <c r="S279" s="42" t="s">
        <v>6</v>
      </c>
      <c r="T279" s="56" t="s">
        <v>66</v>
      </c>
      <c r="U279" s="148" t="s">
        <v>7</v>
      </c>
      <c r="V279" s="148" t="s">
        <v>7</v>
      </c>
      <c r="W279" s="163" t="s">
        <v>7</v>
      </c>
      <c r="X279" s="164" t="s">
        <v>8</v>
      </c>
      <c r="Y279" s="165" t="s">
        <v>9</v>
      </c>
      <c r="Z279" s="148" t="s">
        <v>7</v>
      </c>
      <c r="AA279" s="166" t="s">
        <v>8</v>
      </c>
      <c r="AB279" s="167" t="s">
        <v>9</v>
      </c>
      <c r="AC279" s="163" t="s">
        <v>7</v>
      </c>
      <c r="AD279" s="164" t="s">
        <v>8</v>
      </c>
      <c r="AE279" s="165" t="s">
        <v>9</v>
      </c>
    </row>
    <row r="280" spans="17:31" x14ac:dyDescent="0.2">
      <c r="Q280" s="148" t="s">
        <v>10</v>
      </c>
      <c r="R280" s="32">
        <v>40105</v>
      </c>
      <c r="S280" s="43"/>
      <c r="T280" s="43"/>
      <c r="U280" s="34"/>
      <c r="V280" s="35">
        <v>31409</v>
      </c>
      <c r="W280" s="81">
        <v>18767</v>
      </c>
      <c r="X280" s="82">
        <v>10685</v>
      </c>
      <c r="Y280" s="154">
        <f t="shared" ref="Y280:Y285" si="74">X280/W280</f>
        <v>0.56935045558693453</v>
      </c>
      <c r="Z280" s="34"/>
      <c r="AA280" s="34"/>
      <c r="AB280" s="155"/>
      <c r="AC280" s="81">
        <v>3</v>
      </c>
      <c r="AD280" s="82">
        <v>3</v>
      </c>
      <c r="AE280" s="154"/>
    </row>
    <row r="281" spans="17:31" x14ac:dyDescent="0.2">
      <c r="Q281" s="148" t="s">
        <v>11</v>
      </c>
      <c r="R281" s="32">
        <v>9320</v>
      </c>
      <c r="S281" s="43"/>
      <c r="T281" s="43"/>
      <c r="U281" s="34"/>
      <c r="V281" s="35">
        <v>8061</v>
      </c>
      <c r="W281" s="81">
        <v>130</v>
      </c>
      <c r="X281" s="82">
        <v>74</v>
      </c>
      <c r="Y281" s="154">
        <f t="shared" si="74"/>
        <v>0.56923076923076921</v>
      </c>
      <c r="Z281" s="34"/>
      <c r="AA281" s="34"/>
      <c r="AB281" s="155"/>
      <c r="AC281" s="81">
        <v>1</v>
      </c>
      <c r="AD281" s="82">
        <v>1</v>
      </c>
      <c r="AE281" s="154">
        <f>AD281/AC281</f>
        <v>1</v>
      </c>
    </row>
    <row r="282" spans="17:31" x14ac:dyDescent="0.2">
      <c r="Q282" s="148" t="s">
        <v>12</v>
      </c>
      <c r="R282" s="32">
        <v>3710</v>
      </c>
      <c r="S282" s="43"/>
      <c r="T282" s="43"/>
      <c r="U282" s="34"/>
      <c r="V282" s="35">
        <v>3163</v>
      </c>
      <c r="W282" s="81">
        <v>32</v>
      </c>
      <c r="X282" s="82">
        <v>19</v>
      </c>
      <c r="Y282" s="154">
        <f t="shared" si="74"/>
        <v>0.59375</v>
      </c>
      <c r="Z282" s="34"/>
      <c r="AA282" s="34"/>
      <c r="AB282" s="155"/>
      <c r="AC282" s="81">
        <v>74</v>
      </c>
      <c r="AD282" s="82">
        <v>24</v>
      </c>
      <c r="AE282" s="154">
        <f>AD282/AC282</f>
        <v>0.32432432432432434</v>
      </c>
    </row>
    <row r="283" spans="17:31" x14ac:dyDescent="0.2">
      <c r="Q283" s="148" t="s">
        <v>13</v>
      </c>
      <c r="R283" s="32">
        <v>10456</v>
      </c>
      <c r="S283" s="43"/>
      <c r="T283" s="43"/>
      <c r="U283" s="34"/>
      <c r="V283" s="35">
        <v>8080</v>
      </c>
      <c r="W283" s="81">
        <v>5</v>
      </c>
      <c r="X283" s="82">
        <v>2</v>
      </c>
      <c r="Y283" s="154">
        <f t="shared" si="74"/>
        <v>0.4</v>
      </c>
      <c r="Z283" s="34"/>
      <c r="AA283" s="34"/>
      <c r="AB283" s="155"/>
      <c r="AC283" s="81">
        <v>273</v>
      </c>
      <c r="AD283" s="82">
        <v>68</v>
      </c>
      <c r="AE283" s="154">
        <f>AD283/AC283</f>
        <v>0.24908424908424909</v>
      </c>
    </row>
    <row r="284" spans="17:31" ht="10.8" thickBot="1" x14ac:dyDescent="0.25">
      <c r="Q284" s="209" t="s">
        <v>0</v>
      </c>
      <c r="R284" s="36">
        <v>6479</v>
      </c>
      <c r="S284" s="44"/>
      <c r="T284" s="44"/>
      <c r="U284" s="38"/>
      <c r="V284" s="83">
        <v>3159</v>
      </c>
      <c r="W284" s="84">
        <v>2</v>
      </c>
      <c r="X284" s="85"/>
      <c r="Y284" s="156">
        <f t="shared" si="74"/>
        <v>0</v>
      </c>
      <c r="Z284" s="38"/>
      <c r="AA284" s="38"/>
      <c r="AB284" s="155"/>
      <c r="AC284" s="84">
        <v>224</v>
      </c>
      <c r="AD284" s="85">
        <v>62</v>
      </c>
      <c r="AE284" s="156">
        <f>AD284/AC284</f>
        <v>0.2767857142857143</v>
      </c>
    </row>
    <row r="285" spans="17:31" x14ac:dyDescent="0.2">
      <c r="R285" s="157">
        <f t="shared" ref="R285:X285" si="75">SUM(R280:R284)</f>
        <v>70070</v>
      </c>
      <c r="S285" s="157">
        <f t="shared" si="75"/>
        <v>0</v>
      </c>
      <c r="T285" s="157">
        <f t="shared" si="75"/>
        <v>0</v>
      </c>
      <c r="U285" s="157">
        <f t="shared" si="75"/>
        <v>0</v>
      </c>
      <c r="V285" s="157">
        <f t="shared" si="75"/>
        <v>53872</v>
      </c>
      <c r="W285" s="160">
        <f t="shared" si="75"/>
        <v>18936</v>
      </c>
      <c r="X285" s="160">
        <f t="shared" si="75"/>
        <v>10780</v>
      </c>
      <c r="Y285" s="168">
        <f t="shared" si="74"/>
        <v>0.56928601605407692</v>
      </c>
      <c r="Z285" s="157">
        <f>SUM(Z280:Z284)</f>
        <v>0</v>
      </c>
      <c r="AA285" s="157">
        <f>SUM(AA280:AA284)</f>
        <v>0</v>
      </c>
      <c r="AB285" s="169"/>
      <c r="AC285" s="160">
        <f>SUM(AC280:AC284)</f>
        <v>575</v>
      </c>
      <c r="AD285" s="160">
        <f>SUM(AD280:AD284)</f>
        <v>158</v>
      </c>
      <c r="AE285" s="168">
        <f>AD285/AC285</f>
        <v>0.27478260869565219</v>
      </c>
    </row>
  </sheetData>
  <mergeCells count="96">
    <mergeCell ref="W3:Y3"/>
    <mergeCell ref="Z3:AB3"/>
    <mergeCell ref="AC3:AE3"/>
    <mergeCell ref="W12:Y12"/>
    <mergeCell ref="Z12:AB12"/>
    <mergeCell ref="AC12:AE12"/>
    <mergeCell ref="W60:Y60"/>
    <mergeCell ref="Z60:AB60"/>
    <mergeCell ref="AC60:AE60"/>
    <mergeCell ref="W69:Y69"/>
    <mergeCell ref="Z69:AB69"/>
    <mergeCell ref="AC69:AE69"/>
    <mergeCell ref="W79:Y79"/>
    <mergeCell ref="Z79:AB79"/>
    <mergeCell ref="AC79:AE79"/>
    <mergeCell ref="W88:Y88"/>
    <mergeCell ref="Z88:AB88"/>
    <mergeCell ref="AC88:AE88"/>
    <mergeCell ref="W98:Y98"/>
    <mergeCell ref="Z98:AB98"/>
    <mergeCell ref="AC98:AE98"/>
    <mergeCell ref="W107:Y107"/>
    <mergeCell ref="Z107:AB107"/>
    <mergeCell ref="AC107:AE107"/>
    <mergeCell ref="W136:Y136"/>
    <mergeCell ref="Z136:AB136"/>
    <mergeCell ref="AC136:AE136"/>
    <mergeCell ref="W145:Y145"/>
    <mergeCell ref="Z145:AB145"/>
    <mergeCell ref="AC145:AE145"/>
    <mergeCell ref="W155:Y155"/>
    <mergeCell ref="Z155:AB155"/>
    <mergeCell ref="AC155:AE155"/>
    <mergeCell ref="W164:Y164"/>
    <mergeCell ref="Z164:AB164"/>
    <mergeCell ref="AC164:AE164"/>
    <mergeCell ref="W174:Y174"/>
    <mergeCell ref="Z174:AB174"/>
    <mergeCell ref="AC174:AE174"/>
    <mergeCell ref="W183:Y183"/>
    <mergeCell ref="Z183:AB183"/>
    <mergeCell ref="AC183:AE183"/>
    <mergeCell ref="W212:Y212"/>
    <mergeCell ref="Z212:AB212"/>
    <mergeCell ref="AC212:AE212"/>
    <mergeCell ref="W221:Y221"/>
    <mergeCell ref="Z221:AB221"/>
    <mergeCell ref="AC221:AE221"/>
    <mergeCell ref="W231:Y231"/>
    <mergeCell ref="Z231:AB231"/>
    <mergeCell ref="AC231:AE231"/>
    <mergeCell ref="W240:Y240"/>
    <mergeCell ref="Z240:AB240"/>
    <mergeCell ref="AC240:AE240"/>
    <mergeCell ref="W278:Y278"/>
    <mergeCell ref="Z278:AB278"/>
    <mergeCell ref="AC278:AE278"/>
    <mergeCell ref="W269:Y269"/>
    <mergeCell ref="Z269:AB269"/>
    <mergeCell ref="AC269:AE269"/>
    <mergeCell ref="W250:Y250"/>
    <mergeCell ref="Z250:AB250"/>
    <mergeCell ref="AC250:AE250"/>
    <mergeCell ref="W259:Y259"/>
    <mergeCell ref="Z259:AB259"/>
    <mergeCell ref="AC259:AE259"/>
    <mergeCell ref="G3:I3"/>
    <mergeCell ref="J3:L3"/>
    <mergeCell ref="M3:O3"/>
    <mergeCell ref="G12:I12"/>
    <mergeCell ref="J12:L12"/>
    <mergeCell ref="M12:O12"/>
    <mergeCell ref="W193:Y193"/>
    <mergeCell ref="Z193:AB193"/>
    <mergeCell ref="AC193:AE193"/>
    <mergeCell ref="W202:Y202"/>
    <mergeCell ref="Z202:AB202"/>
    <mergeCell ref="AC202:AE202"/>
    <mergeCell ref="W117:Y117"/>
    <mergeCell ref="Z117:AB117"/>
    <mergeCell ref="AC117:AE117"/>
    <mergeCell ref="W126:Y126"/>
    <mergeCell ref="Z126:AB126"/>
    <mergeCell ref="AC126:AE126"/>
    <mergeCell ref="W41:Y41"/>
    <mergeCell ref="Z41:AB41"/>
    <mergeCell ref="AC41:AE41"/>
    <mergeCell ref="W50:Y50"/>
    <mergeCell ref="Z50:AB50"/>
    <mergeCell ref="AC50:AE50"/>
    <mergeCell ref="AC22:AE22"/>
    <mergeCell ref="W31:Y31"/>
    <mergeCell ref="Z31:AB31"/>
    <mergeCell ref="AC31:AE31"/>
    <mergeCell ref="W22:Y22"/>
    <mergeCell ref="Z22:AB22"/>
  </mergeCells>
  <pageMargins left="0.7" right="0.7" top="0.75" bottom="0.75" header="0.3" footer="0.3"/>
  <pageSetup paperSize="9" orientation="portrait" r:id="rId1"/>
  <headerFooter>
    <oddHeader>&amp;L&amp;"Tahoma,Regular"&amp;12&amp;K00C000Public</oddHeader>
    <evenHeader>&amp;L&amp;"Tahoma,Regular"&amp;12&amp;K00C000Public</evenHeader>
    <firstHeader>&amp;L&amp;"Tahoma,Regular"&amp;12&amp;K00C000Public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G34"/>
  <sheetViews>
    <sheetView tabSelected="1" zoomScale="90" zoomScaleNormal="90" workbookViewId="0">
      <selection activeCell="S30" sqref="S30"/>
    </sheetView>
  </sheetViews>
  <sheetFormatPr defaultColWidth="8.88671875" defaultRowHeight="10.199999999999999" x14ac:dyDescent="0.2"/>
  <cols>
    <col min="1" max="1" width="26.88671875" style="79" bestFit="1" customWidth="1"/>
    <col min="2" max="2" width="10" style="52" customWidth="1"/>
    <col min="3" max="3" width="10.109375" style="52" bestFit="1" customWidth="1"/>
    <col min="4" max="4" width="6.33203125" style="52" bestFit="1" customWidth="1"/>
    <col min="5" max="5" width="6.6640625" style="52" bestFit="1" customWidth="1"/>
    <col min="6" max="6" width="7.77734375" style="52" bestFit="1" customWidth="1"/>
    <col min="7" max="32" width="6.33203125" style="52" bestFit="1" customWidth="1"/>
    <col min="33" max="16384" width="8.88671875" style="52"/>
  </cols>
  <sheetData>
    <row r="1" spans="1:33" x14ac:dyDescent="0.2">
      <c r="A1" s="236" t="s">
        <v>18</v>
      </c>
      <c r="B1" s="236"/>
      <c r="C1" s="236"/>
      <c r="D1" s="236"/>
      <c r="E1" s="236"/>
      <c r="F1" s="236"/>
      <c r="G1" s="236"/>
      <c r="H1" s="236"/>
      <c r="I1" s="236"/>
      <c r="J1" s="236"/>
    </row>
    <row r="2" spans="1:33" x14ac:dyDescent="0.2">
      <c r="A2" s="65"/>
    </row>
    <row r="3" spans="1:33" ht="10.8" thickBot="1" x14ac:dyDescent="0.25">
      <c r="A3" s="64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</row>
    <row r="4" spans="1:33" ht="10.8" thickBot="1" x14ac:dyDescent="0.25">
      <c r="A4" s="237" t="s">
        <v>14</v>
      </c>
      <c r="B4" s="238"/>
      <c r="C4" s="238"/>
      <c r="D4" s="238"/>
      <c r="E4" s="238"/>
      <c r="F4" s="239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</row>
    <row r="5" spans="1:33" x14ac:dyDescent="0.2">
      <c r="A5" s="66"/>
      <c r="B5" s="67" t="s">
        <v>5</v>
      </c>
      <c r="C5" s="68" t="s">
        <v>6</v>
      </c>
      <c r="D5" s="68" t="s">
        <v>7</v>
      </c>
      <c r="E5" s="68" t="s">
        <v>8</v>
      </c>
      <c r="F5" s="69" t="s">
        <v>15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</row>
    <row r="6" spans="1:33" x14ac:dyDescent="0.2">
      <c r="A6" s="66" t="s">
        <v>10</v>
      </c>
      <c r="B6" s="70">
        <v>40105</v>
      </c>
      <c r="C6" s="68">
        <v>14394</v>
      </c>
      <c r="D6" s="68"/>
      <c r="E6" s="68"/>
      <c r="F6" s="69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</row>
    <row r="7" spans="1:33" x14ac:dyDescent="0.2">
      <c r="A7" s="66" t="s">
        <v>11</v>
      </c>
      <c r="B7" s="70">
        <v>9320</v>
      </c>
      <c r="C7" s="68">
        <v>5987</v>
      </c>
      <c r="D7" s="68"/>
      <c r="E7" s="68"/>
      <c r="F7" s="69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 spans="1:33" x14ac:dyDescent="0.2">
      <c r="A8" s="66" t="s">
        <v>12</v>
      </c>
      <c r="B8" s="70">
        <v>3710</v>
      </c>
      <c r="C8" s="68">
        <v>2080</v>
      </c>
      <c r="D8" s="68"/>
      <c r="E8" s="68"/>
      <c r="F8" s="69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</row>
    <row r="9" spans="1:33" x14ac:dyDescent="0.2">
      <c r="A9" s="66" t="s">
        <v>13</v>
      </c>
      <c r="B9" s="70">
        <v>10456</v>
      </c>
      <c r="C9" s="71">
        <v>9734</v>
      </c>
      <c r="D9" s="71">
        <v>9751</v>
      </c>
      <c r="E9" s="71">
        <v>377</v>
      </c>
      <c r="F9" s="72">
        <v>1252585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</row>
    <row r="10" spans="1:33" ht="10.8" thickBot="1" x14ac:dyDescent="0.25">
      <c r="A10" s="73" t="s">
        <v>0</v>
      </c>
      <c r="B10" s="74">
        <v>6479</v>
      </c>
      <c r="C10" s="75">
        <v>6403</v>
      </c>
      <c r="D10" s="75">
        <v>6076</v>
      </c>
      <c r="E10" s="75">
        <v>88</v>
      </c>
      <c r="F10" s="61">
        <v>618690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</row>
    <row r="11" spans="1:33" x14ac:dyDescent="0.2">
      <c r="A11" s="76"/>
      <c r="B11" s="77">
        <f>SUM(B6:B10)</f>
        <v>70070</v>
      </c>
      <c r="C11" s="77">
        <f>SUM(C6:C10)</f>
        <v>38598</v>
      </c>
      <c r="D11" s="77">
        <f>SUM(D9:D10)</f>
        <v>15827</v>
      </c>
      <c r="E11" s="77">
        <f>SUM(E9:E10)</f>
        <v>465</v>
      </c>
      <c r="F11" s="77">
        <f>SUM(F9:F10)</f>
        <v>1871275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</row>
    <row r="12" spans="1:33" x14ac:dyDescent="0.2">
      <c r="A12" s="64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</row>
    <row r="13" spans="1:33" s="88" customFormat="1" x14ac:dyDescent="0.2">
      <c r="A13" s="86"/>
      <c r="B13" s="86" t="s">
        <v>24</v>
      </c>
      <c r="C13" s="87">
        <v>45931</v>
      </c>
      <c r="D13" s="87">
        <v>45932</v>
      </c>
      <c r="E13" s="87">
        <v>45933</v>
      </c>
      <c r="F13" s="87">
        <v>45934</v>
      </c>
      <c r="G13" s="87">
        <v>45935</v>
      </c>
      <c r="H13" s="87">
        <v>45936</v>
      </c>
      <c r="I13" s="87">
        <v>45937</v>
      </c>
      <c r="J13" s="87">
        <v>45938</v>
      </c>
      <c r="K13" s="87">
        <v>45939</v>
      </c>
      <c r="L13" s="87">
        <v>45940</v>
      </c>
      <c r="M13" s="87">
        <v>45941</v>
      </c>
      <c r="N13" s="87">
        <v>45942</v>
      </c>
      <c r="O13" s="87">
        <v>45943</v>
      </c>
      <c r="P13" s="87">
        <v>45944</v>
      </c>
      <c r="Q13" s="87">
        <v>45945</v>
      </c>
      <c r="R13" s="87">
        <v>45946</v>
      </c>
      <c r="S13" s="87">
        <v>45947</v>
      </c>
      <c r="T13" s="87">
        <v>45948</v>
      </c>
      <c r="U13" s="87">
        <v>45949</v>
      </c>
      <c r="V13" s="87">
        <v>45950</v>
      </c>
      <c r="W13" s="87">
        <v>45951</v>
      </c>
      <c r="X13" s="87">
        <v>45952</v>
      </c>
      <c r="Y13" s="87">
        <v>45953</v>
      </c>
      <c r="Z13" s="87">
        <v>45954</v>
      </c>
      <c r="AA13" s="87">
        <v>45955</v>
      </c>
      <c r="AB13" s="87">
        <v>45956</v>
      </c>
      <c r="AC13" s="87">
        <v>45957</v>
      </c>
      <c r="AD13" s="87">
        <v>45958</v>
      </c>
      <c r="AE13" s="87">
        <v>45959</v>
      </c>
      <c r="AF13" s="87">
        <v>45960</v>
      </c>
      <c r="AG13" s="87">
        <v>45961</v>
      </c>
    </row>
    <row r="14" spans="1:33" s="88" customFormat="1" x14ac:dyDescent="0.2">
      <c r="A14" s="10" t="s">
        <v>13</v>
      </c>
      <c r="B14" s="176">
        <f>SUBTOTAL(9,C14:AG14)</f>
        <v>21974</v>
      </c>
      <c r="C14" s="91">
        <v>1427</v>
      </c>
      <c r="D14" s="91">
        <v>964</v>
      </c>
      <c r="E14" s="101"/>
      <c r="F14" s="101"/>
      <c r="G14" s="91">
        <v>1389</v>
      </c>
      <c r="H14" s="91">
        <v>2157</v>
      </c>
      <c r="I14" s="91">
        <v>1576</v>
      </c>
      <c r="J14" s="91">
        <v>1228</v>
      </c>
      <c r="K14" s="91">
        <v>1472</v>
      </c>
      <c r="L14" s="101"/>
      <c r="M14" s="101"/>
      <c r="N14" s="91">
        <v>1066</v>
      </c>
      <c r="O14" s="93">
        <v>1721</v>
      </c>
      <c r="P14" s="93">
        <v>1494</v>
      </c>
      <c r="Q14" s="93">
        <v>1546</v>
      </c>
      <c r="R14" s="93">
        <v>1583</v>
      </c>
      <c r="S14" s="101"/>
      <c r="T14" s="101"/>
      <c r="U14" s="93">
        <v>1184</v>
      </c>
      <c r="V14" s="93">
        <v>1846</v>
      </c>
      <c r="W14" s="93">
        <v>1321</v>
      </c>
      <c r="X14" s="93"/>
      <c r="Y14" s="93"/>
      <c r="Z14" s="101"/>
      <c r="AA14" s="101"/>
      <c r="AB14" s="93"/>
      <c r="AC14" s="93"/>
      <c r="AD14" s="93"/>
      <c r="AE14" s="92"/>
      <c r="AF14" s="92"/>
      <c r="AG14" s="101"/>
    </row>
    <row r="15" spans="1:33" s="88" customFormat="1" x14ac:dyDescent="0.2">
      <c r="A15" s="10" t="s">
        <v>0</v>
      </c>
      <c r="B15" s="176">
        <f>SUBTOTAL(9,C15:AG15)</f>
        <v>11088</v>
      </c>
      <c r="C15" s="90">
        <v>408</v>
      </c>
      <c r="D15" s="90">
        <v>929</v>
      </c>
      <c r="E15" s="101"/>
      <c r="F15" s="101"/>
      <c r="G15" s="91">
        <v>0</v>
      </c>
      <c r="H15" s="91">
        <v>38</v>
      </c>
      <c r="I15" s="91">
        <v>1119</v>
      </c>
      <c r="J15" s="90">
        <v>832</v>
      </c>
      <c r="K15" s="91">
        <v>882</v>
      </c>
      <c r="L15" s="101"/>
      <c r="M15" s="101"/>
      <c r="N15" s="91">
        <v>1305</v>
      </c>
      <c r="O15" s="92">
        <v>897</v>
      </c>
      <c r="P15" s="92">
        <v>860</v>
      </c>
      <c r="Q15" s="93">
        <v>891</v>
      </c>
      <c r="R15" s="93">
        <v>679</v>
      </c>
      <c r="S15" s="101"/>
      <c r="T15" s="101"/>
      <c r="U15" s="93">
        <v>1000</v>
      </c>
      <c r="V15" s="93">
        <v>554</v>
      </c>
      <c r="W15" s="92">
        <v>694</v>
      </c>
      <c r="X15" s="92"/>
      <c r="Y15" s="92"/>
      <c r="Z15" s="101"/>
      <c r="AA15" s="101"/>
      <c r="AB15" s="92"/>
      <c r="AC15" s="92"/>
      <c r="AD15" s="93"/>
      <c r="AE15" s="92"/>
      <c r="AF15" s="92"/>
      <c r="AG15" s="101"/>
    </row>
    <row r="16" spans="1:33" s="95" customFormat="1" x14ac:dyDescent="0.2">
      <c r="A16" s="24"/>
      <c r="B16" s="94">
        <f>SUM(B14:B15)</f>
        <v>33062</v>
      </c>
      <c r="C16" s="94">
        <f t="shared" ref="C16:I16" si="0">SUM(C14:C15)</f>
        <v>1835</v>
      </c>
      <c r="D16" s="94">
        <f t="shared" si="0"/>
        <v>1893</v>
      </c>
      <c r="E16" s="94">
        <f t="shared" si="0"/>
        <v>0</v>
      </c>
      <c r="F16" s="94">
        <f t="shared" si="0"/>
        <v>0</v>
      </c>
      <c r="G16" s="94">
        <f t="shared" si="0"/>
        <v>1389</v>
      </c>
      <c r="H16" s="94">
        <f t="shared" si="0"/>
        <v>2195</v>
      </c>
      <c r="I16" s="94">
        <f t="shared" si="0"/>
        <v>2695</v>
      </c>
      <c r="J16" s="95">
        <f>SUM(J14:J15)</f>
        <v>2060</v>
      </c>
      <c r="K16" s="95">
        <f t="shared" ref="K16:U16" si="1">SUM(K14:K15)</f>
        <v>2354</v>
      </c>
      <c r="L16" s="95">
        <f t="shared" si="1"/>
        <v>0</v>
      </c>
      <c r="M16" s="95">
        <f t="shared" si="1"/>
        <v>0</v>
      </c>
      <c r="N16" s="95">
        <f t="shared" si="1"/>
        <v>2371</v>
      </c>
      <c r="O16" s="95">
        <f t="shared" si="1"/>
        <v>2618</v>
      </c>
      <c r="P16" s="95">
        <f t="shared" si="1"/>
        <v>2354</v>
      </c>
      <c r="Q16" s="95">
        <f t="shared" si="1"/>
        <v>2437</v>
      </c>
      <c r="R16" s="95">
        <f t="shared" si="1"/>
        <v>2262</v>
      </c>
      <c r="S16" s="95">
        <f t="shared" si="1"/>
        <v>0</v>
      </c>
      <c r="T16" s="95">
        <f t="shared" si="1"/>
        <v>0</v>
      </c>
      <c r="U16" s="95">
        <f t="shared" si="1"/>
        <v>2184</v>
      </c>
      <c r="V16" s="96">
        <f>SUM(V14:V15)</f>
        <v>2400</v>
      </c>
      <c r="W16" s="96">
        <f>SUM(W14:W15)</f>
        <v>2015</v>
      </c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s="88" customFormat="1" x14ac:dyDescent="0.2">
      <c r="A17" s="24"/>
      <c r="B17" s="94"/>
      <c r="C17" s="94"/>
      <c r="G17" s="97"/>
      <c r="M17" s="97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</row>
    <row r="18" spans="1:33" s="88" customFormat="1" x14ac:dyDescent="0.2">
      <c r="A18" s="98"/>
      <c r="B18" s="86" t="s">
        <v>24</v>
      </c>
      <c r="C18" s="87">
        <v>45931</v>
      </c>
      <c r="D18" s="87">
        <v>45932</v>
      </c>
      <c r="E18" s="87">
        <v>45933</v>
      </c>
      <c r="F18" s="87">
        <v>45934</v>
      </c>
      <c r="G18" s="87">
        <v>45935</v>
      </c>
      <c r="H18" s="87">
        <v>45936</v>
      </c>
      <c r="I18" s="87">
        <v>45937</v>
      </c>
      <c r="J18" s="87">
        <v>45938</v>
      </c>
      <c r="K18" s="87">
        <v>45939</v>
      </c>
      <c r="L18" s="87">
        <v>45940</v>
      </c>
      <c r="M18" s="87">
        <v>45941</v>
      </c>
      <c r="N18" s="87">
        <v>45942</v>
      </c>
      <c r="O18" s="87">
        <v>45943</v>
      </c>
      <c r="P18" s="87">
        <v>45944</v>
      </c>
      <c r="Q18" s="87">
        <v>45945</v>
      </c>
      <c r="R18" s="87">
        <v>45946</v>
      </c>
      <c r="S18" s="87">
        <v>45947</v>
      </c>
      <c r="T18" s="87">
        <v>45948</v>
      </c>
      <c r="U18" s="87">
        <v>45949</v>
      </c>
      <c r="V18" s="87">
        <v>45950</v>
      </c>
      <c r="W18" s="87">
        <v>45951</v>
      </c>
      <c r="X18" s="87">
        <v>45952</v>
      </c>
      <c r="Y18" s="87">
        <v>45953</v>
      </c>
      <c r="Z18" s="87">
        <v>45954</v>
      </c>
      <c r="AA18" s="87">
        <v>45955</v>
      </c>
      <c r="AB18" s="87">
        <v>45956</v>
      </c>
      <c r="AC18" s="87">
        <v>45957</v>
      </c>
      <c r="AD18" s="87">
        <v>45958</v>
      </c>
      <c r="AE18" s="87">
        <v>45959</v>
      </c>
      <c r="AF18" s="87">
        <v>45960</v>
      </c>
      <c r="AG18" s="87">
        <v>45961</v>
      </c>
    </row>
    <row r="19" spans="1:33" s="88" customFormat="1" x14ac:dyDescent="0.2">
      <c r="A19" s="99" t="s">
        <v>26</v>
      </c>
      <c r="B19" s="89">
        <f>SUBTOTAL(9,C19:AG19)</f>
        <v>300</v>
      </c>
      <c r="C19" s="90">
        <v>20</v>
      </c>
      <c r="D19" s="90">
        <v>20</v>
      </c>
      <c r="E19" s="78"/>
      <c r="F19" s="78"/>
      <c r="G19" s="90">
        <v>20</v>
      </c>
      <c r="H19" s="90">
        <v>20</v>
      </c>
      <c r="I19" s="90">
        <v>20</v>
      </c>
      <c r="J19" s="90">
        <v>20</v>
      </c>
      <c r="K19" s="90">
        <v>20</v>
      </c>
      <c r="L19" s="101"/>
      <c r="M19" s="101"/>
      <c r="N19" s="90">
        <v>20</v>
      </c>
      <c r="O19" s="92">
        <v>20</v>
      </c>
      <c r="P19" s="92">
        <v>20</v>
      </c>
      <c r="Q19" s="92">
        <v>20</v>
      </c>
      <c r="R19" s="92">
        <v>20</v>
      </c>
      <c r="S19" s="175"/>
      <c r="T19" s="175"/>
      <c r="U19" s="92">
        <v>20</v>
      </c>
      <c r="V19" s="92">
        <v>20</v>
      </c>
      <c r="W19" s="92">
        <v>20</v>
      </c>
      <c r="X19" s="92"/>
      <c r="Y19" s="92"/>
      <c r="Z19" s="175"/>
      <c r="AA19" s="175"/>
      <c r="AB19" s="92"/>
      <c r="AC19" s="92"/>
      <c r="AD19" s="92"/>
      <c r="AE19" s="92"/>
      <c r="AF19" s="92"/>
      <c r="AG19" s="175"/>
    </row>
    <row r="20" spans="1:33" s="88" customFormat="1" x14ac:dyDescent="0.2">
      <c r="A20" s="99" t="s">
        <v>27</v>
      </c>
      <c r="B20" s="89">
        <f>SUBTOTAL(9,C20:AG20)</f>
        <v>907</v>
      </c>
      <c r="C20" s="90">
        <v>0</v>
      </c>
      <c r="D20" s="90">
        <v>0</v>
      </c>
      <c r="E20" s="78"/>
      <c r="F20" s="78"/>
      <c r="G20" s="90">
        <v>0</v>
      </c>
      <c r="H20" s="90">
        <v>124</v>
      </c>
      <c r="I20" s="90">
        <v>264</v>
      </c>
      <c r="J20" s="90">
        <v>265</v>
      </c>
      <c r="K20" s="90">
        <v>254</v>
      </c>
      <c r="L20" s="101"/>
      <c r="M20" s="101"/>
      <c r="N20" s="90">
        <v>0</v>
      </c>
      <c r="O20" s="92">
        <v>0</v>
      </c>
      <c r="P20" s="92">
        <v>0</v>
      </c>
      <c r="Q20" s="92">
        <v>0</v>
      </c>
      <c r="R20" s="92">
        <v>0</v>
      </c>
      <c r="S20" s="175"/>
      <c r="T20" s="175"/>
      <c r="U20" s="92">
        <v>0</v>
      </c>
      <c r="V20" s="92">
        <v>0</v>
      </c>
      <c r="W20" s="92">
        <v>0</v>
      </c>
      <c r="X20" s="92"/>
      <c r="Y20" s="92"/>
      <c r="Z20" s="175"/>
      <c r="AA20" s="175"/>
      <c r="AB20" s="92"/>
      <c r="AC20" s="92"/>
      <c r="AD20" s="92"/>
      <c r="AE20" s="92"/>
      <c r="AF20" s="92"/>
      <c r="AG20" s="175"/>
    </row>
    <row r="21" spans="1:33" s="88" customFormat="1" x14ac:dyDescent="0.2">
      <c r="A21" s="100"/>
      <c r="B21" s="46">
        <f>SUM(B19:B20)</f>
        <v>1207</v>
      </c>
      <c r="C21" s="46">
        <f t="shared" ref="C21:Q21" si="2">SUM(C19:C20)</f>
        <v>20</v>
      </c>
      <c r="D21" s="46">
        <f t="shared" si="2"/>
        <v>20</v>
      </c>
      <c r="E21" s="46">
        <f t="shared" si="2"/>
        <v>0</v>
      </c>
      <c r="F21" s="46">
        <f t="shared" si="2"/>
        <v>0</v>
      </c>
      <c r="G21" s="46">
        <f t="shared" si="2"/>
        <v>20</v>
      </c>
      <c r="H21" s="46">
        <f t="shared" si="2"/>
        <v>144</v>
      </c>
      <c r="I21" s="46">
        <f t="shared" si="2"/>
        <v>284</v>
      </c>
      <c r="J21" s="46">
        <f t="shared" si="2"/>
        <v>285</v>
      </c>
      <c r="K21" s="46">
        <f t="shared" si="2"/>
        <v>274</v>
      </c>
      <c r="L21" s="46">
        <f t="shared" si="2"/>
        <v>0</v>
      </c>
      <c r="M21" s="46">
        <f t="shared" si="2"/>
        <v>0</v>
      </c>
      <c r="N21" s="46">
        <f t="shared" si="2"/>
        <v>20</v>
      </c>
      <c r="O21" s="46">
        <f t="shared" si="2"/>
        <v>20</v>
      </c>
      <c r="P21" s="46">
        <f t="shared" si="2"/>
        <v>20</v>
      </c>
      <c r="Q21" s="46">
        <f t="shared" si="2"/>
        <v>20</v>
      </c>
      <c r="R21" s="46">
        <f>SUM(R19:R20)</f>
        <v>20</v>
      </c>
      <c r="S21" s="46"/>
      <c r="T21" s="46"/>
      <c r="U21" s="46">
        <f>SUM(U19:U20)</f>
        <v>20</v>
      </c>
      <c r="V21" s="46">
        <f>SUM(V19:V20)</f>
        <v>20</v>
      </c>
      <c r="W21" s="46">
        <f>SUM(W19:W20)</f>
        <v>20</v>
      </c>
      <c r="X21" s="46"/>
      <c r="Y21" s="46"/>
      <c r="Z21" s="46"/>
      <c r="AA21" s="46"/>
      <c r="AB21" s="46"/>
      <c r="AC21" s="46"/>
      <c r="AD21" s="46"/>
      <c r="AE21" s="46"/>
      <c r="AF21" s="46"/>
      <c r="AG21" s="46"/>
    </row>
    <row r="22" spans="1:33" ht="10.8" thickBot="1" x14ac:dyDescent="0.25">
      <c r="A22" s="64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</row>
    <row r="23" spans="1:33" x14ac:dyDescent="0.2">
      <c r="A23" s="57"/>
      <c r="B23" s="58" t="s">
        <v>24</v>
      </c>
      <c r="C23" s="59" t="s">
        <v>25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spans="1:33" ht="10.8" thickBot="1" x14ac:dyDescent="0.25">
      <c r="A24" s="60" t="s">
        <v>32</v>
      </c>
      <c r="B24" s="80">
        <v>1197795.29</v>
      </c>
      <c r="C24" s="6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</row>
    <row r="25" spans="1:33" ht="10.8" thickBot="1" x14ac:dyDescent="0.25">
      <c r="A25" s="60" t="s">
        <v>68</v>
      </c>
      <c r="B25" s="61">
        <v>0</v>
      </c>
      <c r="C25" s="61"/>
      <c r="D25" s="31"/>
      <c r="E25" s="45"/>
      <c r="F25" s="45"/>
      <c r="G25" s="31"/>
      <c r="H25" s="31"/>
      <c r="I25" s="45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</row>
    <row r="26" spans="1:33" ht="10.8" thickBot="1" x14ac:dyDescent="0.25">
      <c r="A26" s="60" t="s">
        <v>16</v>
      </c>
      <c r="B26" s="61">
        <f>SUM(B24:B25)</f>
        <v>1197795.29</v>
      </c>
      <c r="C26" s="61"/>
      <c r="D26" s="31"/>
      <c r="E26" s="45"/>
      <c r="F26" s="45"/>
      <c r="G26" s="45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spans="1:33" x14ac:dyDescent="0.2">
      <c r="A27" s="64"/>
      <c r="B27" s="31"/>
      <c r="C27" s="31"/>
      <c r="D27" s="31"/>
      <c r="E27" s="45"/>
      <c r="F27" s="45"/>
      <c r="G27" s="45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</row>
    <row r="28" spans="1:33" x14ac:dyDescent="0.2">
      <c r="A28" s="64"/>
      <c r="B28" s="31"/>
      <c r="C28" s="31"/>
      <c r="D28" s="31"/>
      <c r="E28" s="45"/>
      <c r="F28" s="45"/>
      <c r="G28" s="45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</row>
    <row r="29" spans="1:33" x14ac:dyDescent="0.2">
      <c r="E29" s="80"/>
    </row>
    <row r="30" spans="1:33" x14ac:dyDescent="0.2">
      <c r="E30" s="80"/>
      <c r="F30" s="80"/>
    </row>
    <row r="31" spans="1:33" x14ac:dyDescent="0.2">
      <c r="E31" s="80"/>
    </row>
    <row r="32" spans="1:33" x14ac:dyDescent="0.2">
      <c r="E32" s="77"/>
    </row>
    <row r="33" spans="5:5" x14ac:dyDescent="0.2">
      <c r="E33" s="80"/>
    </row>
    <row r="34" spans="5:5" x14ac:dyDescent="0.2">
      <c r="E34" s="80"/>
    </row>
  </sheetData>
  <mergeCells count="2">
    <mergeCell ref="A1:J1"/>
    <mergeCell ref="A4:F4"/>
  </mergeCells>
  <pageMargins left="0.7" right="0.7" top="0.75" bottom="0.75" header="0.3" footer="0.3"/>
  <pageSetup paperSize="9" orientation="portrait" r:id="rId1"/>
  <headerFooter>
    <oddHeader>&amp;L&amp;"Tahoma,Regular"&amp;12&amp;K00C000Public</oddHeader>
    <evenHeader>&amp;L&amp;"Tahoma,Regular"&amp;12&amp;K00C000Public</evenHeader>
    <firstHeader>&amp;L&amp;"Tahoma,Regular"&amp;12&amp;K00C000Public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4A32-FCA8-464F-969C-C060CBD178CB}">
  <sheetPr>
    <pageSetUpPr autoPageBreaks="0"/>
  </sheetPr>
  <dimension ref="A1:L139"/>
  <sheetViews>
    <sheetView zoomScale="90" zoomScaleNormal="90" zoomScaleSheetLayoutView="70" workbookViewId="0">
      <pane ySplit="1" topLeftCell="A41" activePane="bottomLeft" state="frozen"/>
      <selection pane="bottomLeft" activeCell="J105" sqref="J105"/>
    </sheetView>
  </sheetViews>
  <sheetFormatPr defaultColWidth="8.77734375" defaultRowHeight="10.199999999999999" x14ac:dyDescent="0.2"/>
  <cols>
    <col min="1" max="1" width="17.5546875" style="51" bestFit="1" customWidth="1"/>
    <col min="2" max="2" width="33.33203125" style="51" bestFit="1" customWidth="1"/>
    <col min="3" max="3" width="5.88671875" style="52" bestFit="1" customWidth="1"/>
    <col min="4" max="4" width="12.21875" style="53" bestFit="1" customWidth="1"/>
    <col min="5" max="5" width="8.5546875" style="54" bestFit="1" customWidth="1"/>
    <col min="6" max="6" width="11" style="54" bestFit="1" customWidth="1"/>
    <col min="7" max="7" width="10.33203125" style="54" bestFit="1" customWidth="1"/>
    <col min="8" max="8" width="8.21875" style="54" bestFit="1" customWidth="1"/>
    <col min="9" max="9" width="8.33203125" style="55" customWidth="1"/>
    <col min="10" max="10" width="12.77734375" style="31" bestFit="1" customWidth="1"/>
    <col min="11" max="11" width="9.109375" style="31" bestFit="1" customWidth="1"/>
    <col min="12" max="16384" width="8.77734375" style="31"/>
  </cols>
  <sheetData>
    <row r="1" spans="1:12" ht="10.8" thickBot="1" x14ac:dyDescent="0.25">
      <c r="A1" s="126"/>
      <c r="B1" s="126" t="s">
        <v>94</v>
      </c>
      <c r="C1" s="127"/>
      <c r="D1" s="127"/>
      <c r="E1" s="128"/>
      <c r="F1" s="128"/>
      <c r="G1" s="128"/>
      <c r="H1" s="128"/>
      <c r="I1" s="129"/>
      <c r="J1" s="120"/>
      <c r="K1" s="120"/>
      <c r="L1" s="120"/>
    </row>
    <row r="2" spans="1:12" ht="10.8" thickBot="1" x14ac:dyDescent="0.25">
      <c r="A2" s="130"/>
      <c r="B2" s="130"/>
      <c r="C2" s="119"/>
      <c r="D2" s="131"/>
      <c r="E2" s="8"/>
      <c r="F2" s="8"/>
      <c r="G2" s="8"/>
      <c r="H2" s="8"/>
      <c r="I2" s="13"/>
      <c r="J2" s="120"/>
      <c r="K2" s="120"/>
      <c r="L2" s="120"/>
    </row>
    <row r="3" spans="1:12" x14ac:dyDescent="0.2">
      <c r="A3" s="132" t="s">
        <v>31</v>
      </c>
      <c r="B3" s="132" t="s">
        <v>69</v>
      </c>
      <c r="C3" s="1"/>
      <c r="D3" s="1"/>
      <c r="E3" s="1"/>
      <c r="F3" s="25"/>
      <c r="G3" s="25" t="s">
        <v>33</v>
      </c>
      <c r="H3" s="50">
        <v>0.9</v>
      </c>
      <c r="I3" s="50">
        <v>0.1</v>
      </c>
      <c r="J3" s="120"/>
      <c r="K3" s="120"/>
      <c r="L3" s="120"/>
    </row>
    <row r="4" spans="1:12" ht="30.6" x14ac:dyDescent="0.2">
      <c r="A4" s="2" t="s">
        <v>31</v>
      </c>
      <c r="B4" s="2" t="s">
        <v>17</v>
      </c>
      <c r="C4" s="3" t="s">
        <v>28</v>
      </c>
      <c r="D4" s="4" t="s">
        <v>34</v>
      </c>
      <c r="E4" s="4" t="s">
        <v>35</v>
      </c>
      <c r="F4" s="27" t="s">
        <v>36</v>
      </c>
      <c r="G4" s="102" t="s">
        <v>37</v>
      </c>
      <c r="H4" s="28" t="s">
        <v>36</v>
      </c>
      <c r="I4" s="28" t="s">
        <v>38</v>
      </c>
      <c r="J4" s="120"/>
      <c r="K4" s="120"/>
      <c r="L4" s="120"/>
    </row>
    <row r="5" spans="1:12" x14ac:dyDescent="0.2">
      <c r="A5" s="5"/>
      <c r="B5" s="5" t="s">
        <v>72</v>
      </c>
      <c r="C5" s="1">
        <v>40108</v>
      </c>
      <c r="D5" s="6">
        <v>235022243</v>
      </c>
      <c r="E5" s="6">
        <f>D5*10%</f>
        <v>23502224.300000001</v>
      </c>
      <c r="F5" s="6">
        <f>D5-G5</f>
        <v>168472900</v>
      </c>
      <c r="G5" s="6">
        <v>66549343</v>
      </c>
      <c r="H5" s="103">
        <f>F5/D5</f>
        <v>0.71683810795729663</v>
      </c>
      <c r="I5" s="47">
        <f>G5/D5</f>
        <v>0.28316189204270337</v>
      </c>
      <c r="J5" s="121">
        <f>G5-E5</f>
        <v>43047118.700000003</v>
      </c>
      <c r="K5" s="120"/>
      <c r="L5" s="120"/>
    </row>
    <row r="6" spans="1:12" x14ac:dyDescent="0.2">
      <c r="A6" s="2"/>
      <c r="B6" s="2"/>
      <c r="C6" s="3"/>
      <c r="D6" s="4"/>
      <c r="E6" s="4"/>
      <c r="F6" s="104"/>
      <c r="G6" s="104"/>
      <c r="H6" s="105"/>
      <c r="I6" s="105"/>
      <c r="J6" s="120"/>
      <c r="K6" s="120"/>
      <c r="L6" s="120"/>
    </row>
    <row r="7" spans="1:12" ht="10.8" thickBot="1" x14ac:dyDescent="0.25">
      <c r="A7" s="7"/>
      <c r="B7" s="7"/>
      <c r="C7" s="8"/>
      <c r="D7" s="9"/>
      <c r="E7" s="9"/>
      <c r="F7" s="9"/>
      <c r="G7" s="9"/>
      <c r="H7" s="106"/>
      <c r="I7" s="106"/>
      <c r="J7" s="120"/>
      <c r="K7" s="120"/>
      <c r="L7" s="120"/>
    </row>
    <row r="8" spans="1:12" x14ac:dyDescent="0.2">
      <c r="A8" s="132" t="s">
        <v>31</v>
      </c>
      <c r="B8" s="132" t="s">
        <v>73</v>
      </c>
      <c r="C8" s="1"/>
      <c r="D8" s="1"/>
      <c r="E8" s="1"/>
      <c r="F8" s="25"/>
      <c r="G8" s="25" t="s">
        <v>33</v>
      </c>
      <c r="H8" s="50">
        <v>0.75</v>
      </c>
      <c r="I8" s="50">
        <v>0.25</v>
      </c>
      <c r="J8" s="120"/>
      <c r="K8" s="120"/>
      <c r="L8" s="120"/>
    </row>
    <row r="9" spans="1:12" ht="30.6" x14ac:dyDescent="0.2">
      <c r="A9" s="2"/>
      <c r="B9" s="2" t="s">
        <v>17</v>
      </c>
      <c r="C9" s="3" t="s">
        <v>28</v>
      </c>
      <c r="D9" s="4" t="s">
        <v>34</v>
      </c>
      <c r="E9" s="4" t="s">
        <v>35</v>
      </c>
      <c r="F9" s="27" t="s">
        <v>36</v>
      </c>
      <c r="G9" s="102" t="s">
        <v>37</v>
      </c>
      <c r="H9" s="28" t="s">
        <v>36</v>
      </c>
      <c r="I9" s="28" t="s">
        <v>38</v>
      </c>
      <c r="J9" s="120"/>
      <c r="K9" s="120"/>
      <c r="L9" s="120"/>
    </row>
    <row r="10" spans="1:12" x14ac:dyDescent="0.2">
      <c r="A10" s="5" t="s">
        <v>39</v>
      </c>
      <c r="B10" s="5" t="s">
        <v>95</v>
      </c>
      <c r="C10" s="1">
        <v>2613</v>
      </c>
      <c r="D10" s="6">
        <v>17852386</v>
      </c>
      <c r="E10" s="6">
        <f>D10*25%</f>
        <v>4463096.5</v>
      </c>
      <c r="F10" s="6">
        <f t="shared" ref="F10:F12" si="0">D10-G10</f>
        <v>8096070</v>
      </c>
      <c r="G10" s="6">
        <v>9756316</v>
      </c>
      <c r="H10" s="103">
        <f>F10/D10</f>
        <v>0.45350072533721825</v>
      </c>
      <c r="I10" s="47">
        <f>G10/D10</f>
        <v>0.54649927466278181</v>
      </c>
      <c r="J10" s="121">
        <f>E10-G10</f>
        <v>-5293219.5</v>
      </c>
      <c r="K10" s="120"/>
      <c r="L10" s="120"/>
    </row>
    <row r="11" spans="1:12" x14ac:dyDescent="0.2">
      <c r="A11" s="5" t="s">
        <v>40</v>
      </c>
      <c r="B11" s="5" t="s">
        <v>96</v>
      </c>
      <c r="C11" s="1">
        <v>2609</v>
      </c>
      <c r="D11" s="6">
        <v>17853865</v>
      </c>
      <c r="E11" s="6">
        <f t="shared" ref="E11:E12" si="1">D11*25%</f>
        <v>4463466.25</v>
      </c>
      <c r="F11" s="6">
        <f t="shared" si="0"/>
        <v>8157241</v>
      </c>
      <c r="G11" s="6">
        <v>9696624</v>
      </c>
      <c r="H11" s="103">
        <f t="shared" ref="H11:H13" si="2">F11/D11</f>
        <v>0.45688936261140095</v>
      </c>
      <c r="I11" s="47">
        <f t="shared" ref="I11:I13" si="3">G11/D11</f>
        <v>0.5431106373885991</v>
      </c>
      <c r="J11" s="121">
        <f t="shared" ref="J11:J13" si="4">E11-G11</f>
        <v>-5233157.75</v>
      </c>
      <c r="K11" s="120"/>
      <c r="L11" s="120"/>
    </row>
    <row r="12" spans="1:12" x14ac:dyDescent="0.2">
      <c r="A12" s="5">
        <v>0</v>
      </c>
      <c r="B12" s="5" t="s">
        <v>97</v>
      </c>
      <c r="C12" s="1">
        <v>3866</v>
      </c>
      <c r="D12" s="6">
        <v>23795127</v>
      </c>
      <c r="E12" s="6">
        <f t="shared" si="1"/>
        <v>5948781.75</v>
      </c>
      <c r="F12" s="6">
        <f t="shared" si="0"/>
        <v>10577576</v>
      </c>
      <c r="G12" s="6">
        <v>13217551</v>
      </c>
      <c r="H12" s="103">
        <f t="shared" si="2"/>
        <v>0.44452698235231103</v>
      </c>
      <c r="I12" s="47">
        <f t="shared" si="3"/>
        <v>0.55547301764768897</v>
      </c>
      <c r="J12" s="121">
        <f t="shared" si="4"/>
        <v>-7268769.25</v>
      </c>
      <c r="K12" s="120"/>
      <c r="L12" s="120"/>
    </row>
    <row r="13" spans="1:12" x14ac:dyDescent="0.2">
      <c r="A13" s="2"/>
      <c r="B13" s="2"/>
      <c r="C13" s="3">
        <f>SUM(C10:C12)</f>
        <v>9088</v>
      </c>
      <c r="D13" s="4">
        <f>SUM(D10:D12)</f>
        <v>59501378</v>
      </c>
      <c r="E13" s="4">
        <f>SUM(E10:E12)</f>
        <v>14875344.5</v>
      </c>
      <c r="F13" s="104">
        <f>SUM(F10:F12)</f>
        <v>26830887</v>
      </c>
      <c r="G13" s="104">
        <f>SUM(G10:G12)</f>
        <v>32670491</v>
      </c>
      <c r="H13" s="105">
        <f t="shared" si="2"/>
        <v>0.45092883395070277</v>
      </c>
      <c r="I13" s="107">
        <f t="shared" si="3"/>
        <v>0.54907116604929718</v>
      </c>
      <c r="J13" s="121">
        <f t="shared" si="4"/>
        <v>-17795146.5</v>
      </c>
      <c r="K13" s="120"/>
      <c r="L13" s="120"/>
    </row>
    <row r="14" spans="1:12" x14ac:dyDescent="0.2">
      <c r="A14" s="7"/>
      <c r="B14" s="7"/>
      <c r="C14" s="8"/>
      <c r="D14" s="9"/>
      <c r="E14" s="9"/>
      <c r="F14" s="9"/>
      <c r="G14" s="9"/>
      <c r="H14" s="106"/>
      <c r="I14" s="106"/>
      <c r="J14" s="120"/>
      <c r="K14" s="120"/>
      <c r="L14" s="120"/>
    </row>
    <row r="15" spans="1:12" x14ac:dyDescent="0.2">
      <c r="A15" s="7"/>
      <c r="B15" s="7"/>
      <c r="C15" s="8"/>
      <c r="D15" s="8"/>
      <c r="E15" s="8"/>
      <c r="F15" s="8"/>
      <c r="G15" s="8"/>
      <c r="H15" s="13"/>
      <c r="I15" s="13"/>
      <c r="J15" s="120"/>
      <c r="K15" s="120"/>
      <c r="L15" s="120"/>
    </row>
    <row r="16" spans="1:12" ht="10.8" thickBot="1" x14ac:dyDescent="0.25">
      <c r="C16" s="8"/>
      <c r="D16" s="8"/>
      <c r="E16" s="8"/>
      <c r="F16" s="8"/>
      <c r="G16" s="8"/>
      <c r="H16" s="13"/>
      <c r="I16" s="13"/>
      <c r="J16" s="120"/>
      <c r="K16" s="120"/>
      <c r="L16" s="120"/>
    </row>
    <row r="17" spans="1:12" x14ac:dyDescent="0.2">
      <c r="A17" s="132" t="s">
        <v>31</v>
      </c>
      <c r="B17" s="133" t="s">
        <v>74</v>
      </c>
      <c r="C17" s="12"/>
      <c r="D17" s="12"/>
      <c r="E17" s="12"/>
      <c r="F17" s="25"/>
      <c r="G17" s="25" t="s">
        <v>33</v>
      </c>
      <c r="H17" s="50">
        <v>0.65</v>
      </c>
      <c r="I17" s="50">
        <v>0.35</v>
      </c>
      <c r="J17" s="120"/>
      <c r="K17" s="120"/>
      <c r="L17" s="120"/>
    </row>
    <row r="18" spans="1:12" ht="30.6" x14ac:dyDescent="0.2">
      <c r="A18" s="2"/>
      <c r="B18" s="14" t="s">
        <v>17</v>
      </c>
      <c r="C18" s="3" t="s">
        <v>28</v>
      </c>
      <c r="D18" s="4" t="s">
        <v>34</v>
      </c>
      <c r="E18" s="4" t="s">
        <v>35</v>
      </c>
      <c r="F18" s="27" t="s">
        <v>36</v>
      </c>
      <c r="G18" s="102" t="s">
        <v>37</v>
      </c>
      <c r="H18" s="28" t="s">
        <v>36</v>
      </c>
      <c r="I18" s="28" t="s">
        <v>38</v>
      </c>
      <c r="J18" s="120"/>
      <c r="K18" s="120"/>
      <c r="L18" s="120"/>
    </row>
    <row r="19" spans="1:12" x14ac:dyDescent="0.2">
      <c r="A19" s="5" t="s">
        <v>39</v>
      </c>
      <c r="B19" s="5" t="s">
        <v>98</v>
      </c>
      <c r="C19" s="1">
        <v>728</v>
      </c>
      <c r="D19" s="6">
        <v>4957672</v>
      </c>
      <c r="E19" s="108">
        <f>D19*35%</f>
        <v>1735185.2</v>
      </c>
      <c r="F19" s="6">
        <f>D19-G19</f>
        <v>2495526</v>
      </c>
      <c r="G19" s="6">
        <v>2462146</v>
      </c>
      <c r="H19" s="109">
        <f t="shared" ref="H19:H24" si="5">F19/D19</f>
        <v>0.50336649943763923</v>
      </c>
      <c r="I19" s="48">
        <f t="shared" ref="I19:I24" si="6">G19/D19</f>
        <v>0.49663350056236072</v>
      </c>
      <c r="J19" s="121">
        <f>E19-G19</f>
        <v>-726960.8</v>
      </c>
      <c r="K19" s="120"/>
      <c r="L19" s="120"/>
    </row>
    <row r="20" spans="1:12" x14ac:dyDescent="0.2">
      <c r="A20" s="5" t="s">
        <v>40</v>
      </c>
      <c r="B20" s="5" t="s">
        <v>21</v>
      </c>
      <c r="C20" s="1">
        <v>717</v>
      </c>
      <c r="D20" s="6">
        <v>4957913</v>
      </c>
      <c r="E20" s="108">
        <f t="shared" ref="E20:E23" si="7">D20*35%</f>
        <v>1735269.5499999998</v>
      </c>
      <c r="F20" s="6">
        <f t="shared" ref="F20:F23" si="8">D20-G20</f>
        <v>2599999</v>
      </c>
      <c r="G20" s="6">
        <v>2357914</v>
      </c>
      <c r="H20" s="109">
        <f t="shared" si="5"/>
        <v>0.52441400242400382</v>
      </c>
      <c r="I20" s="48">
        <f t="shared" si="6"/>
        <v>0.47558599757599618</v>
      </c>
      <c r="J20" s="121">
        <f t="shared" ref="J20:J24" si="9">E20-G20</f>
        <v>-622644.45000000019</v>
      </c>
      <c r="K20" s="120"/>
      <c r="L20" s="120"/>
    </row>
    <row r="21" spans="1:12" x14ac:dyDescent="0.2">
      <c r="A21" s="5">
        <v>0</v>
      </c>
      <c r="B21" s="5" t="s">
        <v>41</v>
      </c>
      <c r="C21" s="1">
        <v>725</v>
      </c>
      <c r="D21" s="6">
        <v>4958202</v>
      </c>
      <c r="E21" s="108">
        <f t="shared" si="7"/>
        <v>1735370.7</v>
      </c>
      <c r="F21" s="6">
        <f t="shared" si="8"/>
        <v>2403031</v>
      </c>
      <c r="G21" s="6">
        <v>2555171</v>
      </c>
      <c r="H21" s="109">
        <f t="shared" si="5"/>
        <v>0.48465774488413338</v>
      </c>
      <c r="I21" s="48">
        <f t="shared" si="6"/>
        <v>0.51534225511586662</v>
      </c>
      <c r="J21" s="121">
        <f t="shared" si="9"/>
        <v>-819800.3</v>
      </c>
      <c r="K21" s="120"/>
      <c r="L21" s="120"/>
    </row>
    <row r="22" spans="1:12" x14ac:dyDescent="0.2">
      <c r="A22" s="5" t="s">
        <v>39</v>
      </c>
      <c r="B22" s="5" t="s">
        <v>70</v>
      </c>
      <c r="C22" s="1">
        <v>726</v>
      </c>
      <c r="D22" s="6">
        <v>4957941</v>
      </c>
      <c r="E22" s="108">
        <f t="shared" si="7"/>
        <v>1735279.3499999999</v>
      </c>
      <c r="F22" s="6">
        <f t="shared" si="8"/>
        <v>2631027</v>
      </c>
      <c r="G22" s="6">
        <v>2326914</v>
      </c>
      <c r="H22" s="109">
        <f t="shared" si="5"/>
        <v>0.53066928388215995</v>
      </c>
      <c r="I22" s="48">
        <f t="shared" si="6"/>
        <v>0.46933071611784005</v>
      </c>
      <c r="J22" s="121">
        <f t="shared" si="9"/>
        <v>-591634.65000000014</v>
      </c>
      <c r="K22" s="120"/>
      <c r="L22" s="120"/>
    </row>
    <row r="23" spans="1:12" x14ac:dyDescent="0.2">
      <c r="A23" s="5" t="s">
        <v>40</v>
      </c>
      <c r="B23" s="5" t="s">
        <v>23</v>
      </c>
      <c r="C23" s="1">
        <v>721</v>
      </c>
      <c r="D23" s="6">
        <v>4957925</v>
      </c>
      <c r="E23" s="108">
        <f t="shared" si="7"/>
        <v>1735273.75</v>
      </c>
      <c r="F23" s="6">
        <f t="shared" si="8"/>
        <v>2328902</v>
      </c>
      <c r="G23" s="6">
        <v>2629023</v>
      </c>
      <c r="H23" s="109">
        <f t="shared" si="5"/>
        <v>0.46973320491939674</v>
      </c>
      <c r="I23" s="48">
        <f t="shared" si="6"/>
        <v>0.53026679508060326</v>
      </c>
      <c r="J23" s="121">
        <f t="shared" si="9"/>
        <v>-893749.25</v>
      </c>
      <c r="K23" s="120"/>
      <c r="L23" s="120"/>
    </row>
    <row r="24" spans="1:12" ht="10.8" thickBot="1" x14ac:dyDescent="0.25">
      <c r="A24" s="15"/>
      <c r="B24" s="15"/>
      <c r="C24" s="16">
        <f>SUM(C19:C23)</f>
        <v>3617</v>
      </c>
      <c r="D24" s="17">
        <f>SUM(D19:D23)</f>
        <v>24789653</v>
      </c>
      <c r="E24" s="17">
        <f>SUM(E19:E23)</f>
        <v>8676378.5500000007</v>
      </c>
      <c r="F24" s="18">
        <f>SUM(F19:F23)</f>
        <v>12458485</v>
      </c>
      <c r="G24" s="18">
        <f>SUM(G19:G23)</f>
        <v>12331168</v>
      </c>
      <c r="H24" s="110">
        <f t="shared" si="5"/>
        <v>0.50256794639279545</v>
      </c>
      <c r="I24" s="110">
        <f t="shared" si="6"/>
        <v>0.49743205360720461</v>
      </c>
      <c r="J24" s="121">
        <f t="shared" si="9"/>
        <v>-3654789.4499999993</v>
      </c>
      <c r="K24" s="120"/>
      <c r="L24" s="120"/>
    </row>
    <row r="25" spans="1:12" ht="10.8" thickBot="1" x14ac:dyDescent="0.25">
      <c r="A25" s="7"/>
      <c r="B25" s="7"/>
      <c r="C25" s="8"/>
      <c r="D25" s="9"/>
      <c r="E25" s="9"/>
      <c r="F25" s="9"/>
      <c r="G25" s="9"/>
      <c r="H25" s="9"/>
      <c r="I25" s="106"/>
      <c r="J25" s="120"/>
      <c r="K25" s="120"/>
      <c r="L25" s="120"/>
    </row>
    <row r="26" spans="1:12" ht="10.8" thickBot="1" x14ac:dyDescent="0.25">
      <c r="A26" s="134"/>
      <c r="B26" s="134" t="s">
        <v>39</v>
      </c>
      <c r="C26" s="111">
        <f>C19+C22</f>
        <v>1454</v>
      </c>
      <c r="D26" s="111">
        <f t="shared" ref="D26:G26" si="10">D19+D22</f>
        <v>9915613</v>
      </c>
      <c r="E26" s="111">
        <f t="shared" si="10"/>
        <v>3470464.55</v>
      </c>
      <c r="F26" s="111">
        <f t="shared" si="10"/>
        <v>5126553</v>
      </c>
      <c r="G26" s="111">
        <f t="shared" si="10"/>
        <v>4789060</v>
      </c>
      <c r="H26" s="112">
        <f t="shared" ref="H26:H27" si="11">F26/D26</f>
        <v>0.51701826200760359</v>
      </c>
      <c r="I26" s="113">
        <f>G26/D26</f>
        <v>0.48298173799239641</v>
      </c>
      <c r="J26" s="120"/>
      <c r="K26" s="120"/>
      <c r="L26" s="120"/>
    </row>
    <row r="27" spans="1:12" ht="10.8" thickBot="1" x14ac:dyDescent="0.25">
      <c r="A27" s="135"/>
      <c r="B27" s="135" t="s">
        <v>40</v>
      </c>
      <c r="C27" s="114">
        <f>C23+C20</f>
        <v>1438</v>
      </c>
      <c r="D27" s="114">
        <f t="shared" ref="D27:G27" si="12">D23+D20</f>
        <v>9915838</v>
      </c>
      <c r="E27" s="114">
        <f t="shared" si="12"/>
        <v>3470543.3</v>
      </c>
      <c r="F27" s="114">
        <f t="shared" si="12"/>
        <v>4928901</v>
      </c>
      <c r="G27" s="114">
        <f t="shared" si="12"/>
        <v>4986937</v>
      </c>
      <c r="H27" s="112">
        <f t="shared" si="11"/>
        <v>0.49707357058475543</v>
      </c>
      <c r="I27" s="113">
        <f t="shared" ref="I27" si="13">G27/D27</f>
        <v>0.50292642941524457</v>
      </c>
      <c r="J27" s="120"/>
      <c r="K27" s="120"/>
      <c r="L27" s="120"/>
    </row>
    <row r="28" spans="1:12" x14ac:dyDescent="0.2">
      <c r="A28" s="7"/>
      <c r="B28" s="7"/>
      <c r="C28" s="8"/>
      <c r="D28" s="8"/>
      <c r="E28" s="8"/>
      <c r="F28" s="8"/>
      <c r="G28" s="8"/>
      <c r="H28" s="13"/>
      <c r="I28" s="13"/>
      <c r="J28" s="120"/>
      <c r="K28" s="120"/>
      <c r="L28" s="120"/>
    </row>
    <row r="29" spans="1:12" x14ac:dyDescent="0.2">
      <c r="A29" s="7"/>
      <c r="B29" s="7"/>
      <c r="C29" s="8"/>
      <c r="D29" s="8"/>
      <c r="E29" s="8"/>
      <c r="F29" s="8"/>
      <c r="G29" s="8"/>
      <c r="H29" s="13"/>
      <c r="I29" s="13"/>
      <c r="J29" s="120"/>
      <c r="K29" s="120"/>
      <c r="L29" s="120"/>
    </row>
    <row r="30" spans="1:12" ht="10.8" thickBot="1" x14ac:dyDescent="0.25">
      <c r="A30" s="7"/>
      <c r="B30" s="7"/>
      <c r="C30" s="8"/>
      <c r="D30" s="9"/>
      <c r="E30" s="9"/>
      <c r="F30" s="9"/>
      <c r="G30" s="9"/>
      <c r="H30" s="9"/>
      <c r="I30" s="106"/>
      <c r="J30" s="120"/>
      <c r="K30" s="120"/>
      <c r="L30" s="120"/>
    </row>
    <row r="31" spans="1:12" x14ac:dyDescent="0.2">
      <c r="A31" s="132" t="s">
        <v>31</v>
      </c>
      <c r="B31" s="133" t="s">
        <v>87</v>
      </c>
      <c r="C31" s="12"/>
      <c r="D31" s="12"/>
      <c r="E31" s="12"/>
      <c r="F31" s="25"/>
      <c r="G31" s="25" t="s">
        <v>33</v>
      </c>
      <c r="H31" s="50">
        <v>0.65</v>
      </c>
      <c r="I31" s="50">
        <v>0.35</v>
      </c>
      <c r="J31" s="120"/>
      <c r="K31" s="120"/>
      <c r="L31" s="120"/>
    </row>
    <row r="32" spans="1:12" ht="30.6" x14ac:dyDescent="0.2">
      <c r="A32" s="2"/>
      <c r="B32" s="14" t="s">
        <v>17</v>
      </c>
      <c r="C32" s="3" t="s">
        <v>28</v>
      </c>
      <c r="D32" s="4" t="s">
        <v>34</v>
      </c>
      <c r="E32" s="4" t="s">
        <v>42</v>
      </c>
      <c r="F32" s="27" t="s">
        <v>36</v>
      </c>
      <c r="G32" s="102" t="s">
        <v>43</v>
      </c>
      <c r="H32" s="28" t="s">
        <v>36</v>
      </c>
      <c r="I32" s="28" t="s">
        <v>44</v>
      </c>
      <c r="J32" s="120"/>
      <c r="K32" s="120"/>
      <c r="L32" s="120"/>
    </row>
    <row r="33" spans="1:12" x14ac:dyDescent="0.2">
      <c r="A33" s="19" t="s">
        <v>40</v>
      </c>
      <c r="B33" s="19" t="s">
        <v>75</v>
      </c>
      <c r="C33" s="1">
        <v>666</v>
      </c>
      <c r="D33" s="1">
        <v>4835848</v>
      </c>
      <c r="E33" s="6">
        <f>D33*35%</f>
        <v>1692546.7999999998</v>
      </c>
      <c r="F33" s="6">
        <f>D33-G33</f>
        <v>4295338</v>
      </c>
      <c r="G33" s="6">
        <v>540510</v>
      </c>
      <c r="H33" s="115">
        <f>F33/D33</f>
        <v>0.88822849684274607</v>
      </c>
      <c r="I33" s="20">
        <f t="shared" ref="I33:I38" si="14">G33/D33</f>
        <v>0.11177150315725391</v>
      </c>
      <c r="J33" s="121">
        <f>G33-E33</f>
        <v>-1152036.7999999998</v>
      </c>
      <c r="K33" s="120"/>
      <c r="L33" s="120"/>
    </row>
    <row r="34" spans="1:12" x14ac:dyDescent="0.2">
      <c r="A34" s="19" t="s">
        <v>39</v>
      </c>
      <c r="B34" s="19" t="s">
        <v>88</v>
      </c>
      <c r="C34" s="1">
        <v>646</v>
      </c>
      <c r="D34" s="1">
        <v>4830847</v>
      </c>
      <c r="E34" s="6">
        <f t="shared" ref="E34:E37" si="15">D34*35%</f>
        <v>1690796.45</v>
      </c>
      <c r="F34" s="6">
        <f t="shared" ref="F34:F37" si="16">D34-G34</f>
        <v>4345435</v>
      </c>
      <c r="G34" s="6">
        <v>485412</v>
      </c>
      <c r="H34" s="115">
        <f t="shared" ref="H34:H38" si="17">F34/D34</f>
        <v>0.89951824183212592</v>
      </c>
      <c r="I34" s="20">
        <f t="shared" si="14"/>
        <v>0.10048175816787408</v>
      </c>
      <c r="J34" s="121">
        <f t="shared" ref="J34:J38" si="18">G34-E34</f>
        <v>-1205384.45</v>
      </c>
      <c r="K34" s="120"/>
      <c r="L34" s="120"/>
    </row>
    <row r="35" spans="1:12" x14ac:dyDescent="0.2">
      <c r="A35" s="19">
        <v>0</v>
      </c>
      <c r="B35" s="19" t="s">
        <v>45</v>
      </c>
      <c r="C35" s="1">
        <v>645</v>
      </c>
      <c r="D35" s="1">
        <v>4851241</v>
      </c>
      <c r="E35" s="6">
        <f t="shared" si="15"/>
        <v>1697934.3499999999</v>
      </c>
      <c r="F35" s="6">
        <f t="shared" si="16"/>
        <v>4459122</v>
      </c>
      <c r="G35" s="6">
        <v>392119</v>
      </c>
      <c r="H35" s="115">
        <f t="shared" si="17"/>
        <v>0.91917140377070528</v>
      </c>
      <c r="I35" s="20">
        <f t="shared" si="14"/>
        <v>8.0828596229294725E-2</v>
      </c>
      <c r="J35" s="121">
        <f t="shared" si="18"/>
        <v>-1305815.3499999999</v>
      </c>
      <c r="K35" s="120"/>
      <c r="L35" s="120"/>
    </row>
    <row r="36" spans="1:12" x14ac:dyDescent="0.2">
      <c r="A36" s="19" t="s">
        <v>39</v>
      </c>
      <c r="B36" s="19" t="s">
        <v>58</v>
      </c>
      <c r="C36" s="1">
        <v>651</v>
      </c>
      <c r="D36" s="1">
        <v>4837660</v>
      </c>
      <c r="E36" s="6">
        <f t="shared" si="15"/>
        <v>1693181</v>
      </c>
      <c r="F36" s="6">
        <f t="shared" si="16"/>
        <v>4272039</v>
      </c>
      <c r="G36" s="6">
        <v>565621</v>
      </c>
      <c r="H36" s="115">
        <f t="shared" si="17"/>
        <v>0.8830796294076062</v>
      </c>
      <c r="I36" s="20">
        <f t="shared" si="14"/>
        <v>0.11692037059239384</v>
      </c>
      <c r="J36" s="121">
        <f t="shared" si="18"/>
        <v>-1127560</v>
      </c>
      <c r="K36" s="120"/>
      <c r="L36" s="120"/>
    </row>
    <row r="37" spans="1:12" x14ac:dyDescent="0.2">
      <c r="A37" s="19" t="s">
        <v>40</v>
      </c>
      <c r="B37" s="19" t="s">
        <v>86</v>
      </c>
      <c r="C37" s="1">
        <v>648</v>
      </c>
      <c r="D37" s="1">
        <v>4827416</v>
      </c>
      <c r="E37" s="6">
        <f t="shared" si="15"/>
        <v>1689595.5999999999</v>
      </c>
      <c r="F37" s="6">
        <f t="shared" si="16"/>
        <v>4360656</v>
      </c>
      <c r="G37" s="6">
        <v>466760</v>
      </c>
      <c r="H37" s="115">
        <f t="shared" si="17"/>
        <v>0.9033105910076944</v>
      </c>
      <c r="I37" s="20">
        <f t="shared" si="14"/>
        <v>9.6689408992305617E-2</v>
      </c>
      <c r="J37" s="121">
        <f t="shared" si="18"/>
        <v>-1222835.5999999999</v>
      </c>
      <c r="K37" s="120"/>
      <c r="L37" s="120"/>
    </row>
    <row r="38" spans="1:12" ht="10.8" thickBot="1" x14ac:dyDescent="0.25">
      <c r="A38" s="21"/>
      <c r="B38" s="21"/>
      <c r="C38" s="116">
        <f>SUM(C33:C37)</f>
        <v>3256</v>
      </c>
      <c r="D38" s="116">
        <f>SUM(D33:D37)</f>
        <v>24183012</v>
      </c>
      <c r="E38" s="116">
        <f>SUM(E33:E37)</f>
        <v>8464054.1999999993</v>
      </c>
      <c r="F38" s="116">
        <f>SUM(F33:F37)</f>
        <v>21732590</v>
      </c>
      <c r="G38" s="22">
        <f>SUM(G33:G37)</f>
        <v>2450422</v>
      </c>
      <c r="H38" s="117">
        <f t="shared" si="17"/>
        <v>0.89867176181362352</v>
      </c>
      <c r="I38" s="125">
        <f t="shared" si="14"/>
        <v>0.10132823818637646</v>
      </c>
      <c r="J38" s="121">
        <f t="shared" si="18"/>
        <v>-6013632.1999999993</v>
      </c>
      <c r="K38" s="120"/>
      <c r="L38" s="120"/>
    </row>
    <row r="39" spans="1:12" ht="10.8" thickBot="1" x14ac:dyDescent="0.25">
      <c r="A39" s="7"/>
      <c r="B39" s="7"/>
      <c r="C39" s="8"/>
      <c r="D39" s="8"/>
      <c r="E39" s="8"/>
      <c r="F39" s="8"/>
      <c r="G39" s="9"/>
      <c r="H39" s="9"/>
      <c r="I39" s="106"/>
      <c r="J39" s="120"/>
      <c r="K39" s="120"/>
      <c r="L39" s="120"/>
    </row>
    <row r="40" spans="1:12" ht="10.8" thickBot="1" x14ac:dyDescent="0.25">
      <c r="A40" s="134"/>
      <c r="B40" s="134" t="s">
        <v>39</v>
      </c>
      <c r="C40" s="111">
        <f>C34+C36</f>
        <v>1297</v>
      </c>
      <c r="D40" s="111">
        <f t="shared" ref="D40:G40" si="19">D34+D36</f>
        <v>9668507</v>
      </c>
      <c r="E40" s="111">
        <f t="shared" si="19"/>
        <v>3383977.45</v>
      </c>
      <c r="F40" s="111">
        <f t="shared" si="19"/>
        <v>8617474</v>
      </c>
      <c r="G40" s="111">
        <f t="shared" si="19"/>
        <v>1051033</v>
      </c>
      <c r="H40" s="112">
        <f t="shared" ref="H40:H41" si="20">F40/D40</f>
        <v>0.89129314381217284</v>
      </c>
      <c r="I40" s="113">
        <f t="shared" ref="I40:I41" si="21">G40/D40</f>
        <v>0.10870685618782713</v>
      </c>
      <c r="J40" s="120"/>
      <c r="K40" s="120"/>
      <c r="L40" s="120"/>
    </row>
    <row r="41" spans="1:12" ht="10.8" thickBot="1" x14ac:dyDescent="0.25">
      <c r="A41" s="135"/>
      <c r="B41" s="135" t="s">
        <v>40</v>
      </c>
      <c r="C41" s="114">
        <f>C37+C33</f>
        <v>1314</v>
      </c>
      <c r="D41" s="114">
        <f t="shared" ref="D41:G41" si="22">D37+D33</f>
        <v>9663264</v>
      </c>
      <c r="E41" s="114">
        <f t="shared" si="22"/>
        <v>3382142.3999999994</v>
      </c>
      <c r="F41" s="114">
        <f t="shared" si="22"/>
        <v>8655994</v>
      </c>
      <c r="G41" s="114">
        <f t="shared" si="22"/>
        <v>1007270</v>
      </c>
      <c r="H41" s="112">
        <f t="shared" si="20"/>
        <v>0.89576296373564879</v>
      </c>
      <c r="I41" s="113">
        <f t="shared" si="21"/>
        <v>0.10423703626435125</v>
      </c>
      <c r="J41" s="120"/>
      <c r="K41" s="120"/>
      <c r="L41" s="120"/>
    </row>
    <row r="42" spans="1:12" x14ac:dyDescent="0.2">
      <c r="A42" s="7"/>
      <c r="B42" s="7"/>
      <c r="C42" s="8"/>
      <c r="D42" s="8"/>
      <c r="E42" s="8"/>
      <c r="F42" s="8"/>
      <c r="G42" s="8"/>
      <c r="H42" s="13"/>
      <c r="I42" s="13"/>
      <c r="J42" s="120"/>
      <c r="K42" s="120"/>
      <c r="L42" s="120"/>
    </row>
    <row r="43" spans="1:12" x14ac:dyDescent="0.2">
      <c r="A43" s="7"/>
      <c r="B43" s="7"/>
      <c r="C43" s="8"/>
      <c r="D43" s="8"/>
      <c r="E43" s="8"/>
      <c r="F43" s="8"/>
      <c r="G43" s="8"/>
      <c r="H43" s="13"/>
      <c r="I43" s="13"/>
      <c r="J43" s="120"/>
      <c r="K43" s="120"/>
      <c r="L43" s="120"/>
    </row>
    <row r="44" spans="1:12" ht="10.8" thickBot="1" x14ac:dyDescent="0.25">
      <c r="A44" s="7"/>
      <c r="B44" s="7"/>
      <c r="C44" s="8"/>
      <c r="D44" s="8"/>
      <c r="E44" s="8"/>
      <c r="F44" s="8"/>
      <c r="G44" s="9"/>
      <c r="H44" s="9"/>
      <c r="I44" s="106"/>
      <c r="J44" s="120"/>
      <c r="K44" s="120"/>
      <c r="L44" s="120"/>
    </row>
    <row r="45" spans="1:12" x14ac:dyDescent="0.2">
      <c r="A45" s="132" t="s">
        <v>31</v>
      </c>
      <c r="B45" s="133" t="s">
        <v>89</v>
      </c>
      <c r="C45" s="12"/>
      <c r="D45" s="12"/>
      <c r="E45" s="12"/>
      <c r="F45" s="25" t="s">
        <v>33</v>
      </c>
      <c r="G45" s="26"/>
      <c r="H45" s="8"/>
      <c r="I45" s="136"/>
      <c r="J45" s="120"/>
      <c r="K45" s="120"/>
      <c r="L45" s="120"/>
    </row>
    <row r="46" spans="1:12" ht="30.6" x14ac:dyDescent="0.2">
      <c r="A46" s="2"/>
      <c r="B46" s="14" t="s">
        <v>17</v>
      </c>
      <c r="C46" s="3" t="s">
        <v>28</v>
      </c>
      <c r="D46" s="4" t="s">
        <v>46</v>
      </c>
      <c r="E46" s="4" t="s">
        <v>35</v>
      </c>
      <c r="F46" s="27" t="s">
        <v>47</v>
      </c>
      <c r="G46" s="28" t="s">
        <v>47</v>
      </c>
      <c r="H46" s="8"/>
      <c r="I46" s="136"/>
      <c r="J46" s="120"/>
      <c r="K46" s="120"/>
      <c r="L46" s="120"/>
    </row>
    <row r="47" spans="1:12" x14ac:dyDescent="0.2">
      <c r="A47" s="5" t="s">
        <v>39</v>
      </c>
      <c r="B47" s="5" t="s">
        <v>63</v>
      </c>
      <c r="C47" s="1">
        <v>646</v>
      </c>
      <c r="D47" s="6">
        <v>3300965</v>
      </c>
      <c r="E47" s="6">
        <f>D47*7%</f>
        <v>231067.55000000002</v>
      </c>
      <c r="F47" s="6">
        <v>65010.560000000005</v>
      </c>
      <c r="G47" s="49">
        <f>F47/D47</f>
        <v>1.9694410573877639E-2</v>
      </c>
      <c r="H47" s="8">
        <f>F47-E47</f>
        <v>-166056.99000000002</v>
      </c>
      <c r="I47" s="136"/>
      <c r="J47" s="120"/>
      <c r="K47" s="120"/>
      <c r="L47" s="120"/>
    </row>
    <row r="48" spans="1:12" x14ac:dyDescent="0.2">
      <c r="A48" s="5" t="s">
        <v>39</v>
      </c>
      <c r="B48" s="5" t="s">
        <v>29</v>
      </c>
      <c r="C48" s="1">
        <v>659</v>
      </c>
      <c r="D48" s="6">
        <v>3315645</v>
      </c>
      <c r="E48" s="6">
        <f t="shared" ref="E48:E51" si="23">D48*7%</f>
        <v>232095.15000000002</v>
      </c>
      <c r="F48" s="6">
        <v>110727.01999999999</v>
      </c>
      <c r="G48" s="49">
        <f t="shared" ref="G48:G55" si="24">F48/D48</f>
        <v>3.3395318256327196E-2</v>
      </c>
      <c r="H48" s="8">
        <f t="shared" ref="H48:H51" si="25">F48-E48</f>
        <v>-121368.13000000003</v>
      </c>
      <c r="I48" s="136"/>
      <c r="J48" s="120"/>
      <c r="K48" s="120"/>
      <c r="L48" s="120"/>
    </row>
    <row r="49" spans="1:12" x14ac:dyDescent="0.2">
      <c r="A49" s="5">
        <v>0</v>
      </c>
      <c r="B49" s="5" t="s">
        <v>48</v>
      </c>
      <c r="C49" s="1">
        <v>651</v>
      </c>
      <c r="D49" s="6">
        <v>3332875</v>
      </c>
      <c r="E49" s="6">
        <f t="shared" si="23"/>
        <v>233301.25000000003</v>
      </c>
      <c r="F49" s="6">
        <v>48612.25</v>
      </c>
      <c r="G49" s="49">
        <f t="shared" si="24"/>
        <v>1.4585680531073023E-2</v>
      </c>
      <c r="H49" s="8">
        <f t="shared" si="25"/>
        <v>-184689.00000000003</v>
      </c>
      <c r="I49" s="136"/>
      <c r="J49" s="120"/>
      <c r="K49" s="120"/>
      <c r="L49" s="120"/>
    </row>
    <row r="50" spans="1:12" x14ac:dyDescent="0.2">
      <c r="A50" s="5" t="s">
        <v>40</v>
      </c>
      <c r="B50" s="5" t="s">
        <v>71</v>
      </c>
      <c r="C50" s="1">
        <v>658</v>
      </c>
      <c r="D50" s="6">
        <v>3312284</v>
      </c>
      <c r="E50" s="6">
        <f t="shared" si="23"/>
        <v>231859.88000000003</v>
      </c>
      <c r="F50" s="6">
        <v>120962.1</v>
      </c>
      <c r="G50" s="49">
        <f t="shared" si="24"/>
        <v>3.651924170753474E-2</v>
      </c>
      <c r="H50" s="8">
        <f t="shared" si="25"/>
        <v>-110897.78000000003</v>
      </c>
      <c r="I50" s="136"/>
      <c r="J50" s="120"/>
      <c r="K50" s="120"/>
      <c r="L50" s="120"/>
    </row>
    <row r="51" spans="1:12" x14ac:dyDescent="0.2">
      <c r="A51" s="5" t="s">
        <v>40</v>
      </c>
      <c r="B51" s="5" t="s">
        <v>22</v>
      </c>
      <c r="C51" s="1">
        <v>656</v>
      </c>
      <c r="D51" s="6">
        <v>3330926</v>
      </c>
      <c r="E51" s="6">
        <f t="shared" si="23"/>
        <v>233164.82000000004</v>
      </c>
      <c r="F51" s="6">
        <v>95008.28</v>
      </c>
      <c r="G51" s="49">
        <f t="shared" si="24"/>
        <v>2.8523083370810397E-2</v>
      </c>
      <c r="H51" s="8">
        <f t="shared" si="25"/>
        <v>-138156.54000000004</v>
      </c>
      <c r="I51" s="136"/>
      <c r="J51" s="120"/>
      <c r="K51" s="120"/>
      <c r="L51" s="120"/>
    </row>
    <row r="52" spans="1:12" ht="10.8" thickBot="1" x14ac:dyDescent="0.25">
      <c r="A52" s="15"/>
      <c r="B52" s="15"/>
      <c r="C52" s="16">
        <f>SUM(C47:C51)</f>
        <v>3270</v>
      </c>
      <c r="D52" s="17">
        <f>SUM(D47:D51)</f>
        <v>16592695</v>
      </c>
      <c r="E52" s="17">
        <f>SUM(E47:E51)</f>
        <v>1161488.6500000001</v>
      </c>
      <c r="F52" s="18">
        <f>SUM(F47:F51)</f>
        <v>440320.20999999996</v>
      </c>
      <c r="G52" s="118">
        <f t="shared" si="24"/>
        <v>2.653699173039702E-2</v>
      </c>
      <c r="H52" s="8">
        <f>F52-E52</f>
        <v>-721168.44000000018</v>
      </c>
      <c r="I52" s="136"/>
      <c r="J52" s="120"/>
      <c r="K52" s="120"/>
      <c r="L52" s="120"/>
    </row>
    <row r="53" spans="1:12" ht="10.8" thickBot="1" x14ac:dyDescent="0.25">
      <c r="A53" s="7"/>
      <c r="B53" s="7"/>
      <c r="C53" s="8"/>
      <c r="D53" s="9"/>
      <c r="E53" s="9"/>
      <c r="F53" s="9"/>
      <c r="G53" s="106"/>
      <c r="H53" s="8"/>
      <c r="I53" s="136"/>
      <c r="J53" s="120"/>
      <c r="K53" s="120"/>
      <c r="L53" s="120"/>
    </row>
    <row r="54" spans="1:12" ht="10.8" thickBot="1" x14ac:dyDescent="0.25">
      <c r="A54" s="137"/>
      <c r="B54" s="137" t="s">
        <v>39</v>
      </c>
      <c r="C54" s="12">
        <f>C47+C48</f>
        <v>1305</v>
      </c>
      <c r="D54" s="12">
        <f t="shared" ref="D54:F54" si="26">D47+D48</f>
        <v>6616610</v>
      </c>
      <c r="E54" s="12">
        <f t="shared" si="26"/>
        <v>463162.70000000007</v>
      </c>
      <c r="F54" s="12">
        <f t="shared" si="26"/>
        <v>175737.58</v>
      </c>
      <c r="G54" s="62">
        <f t="shared" si="24"/>
        <v>2.6560063234798481E-2</v>
      </c>
      <c r="H54" s="119"/>
      <c r="I54" s="120"/>
      <c r="J54" s="120"/>
      <c r="K54" s="120"/>
      <c r="L54" s="120"/>
    </row>
    <row r="55" spans="1:12" ht="10.8" thickBot="1" x14ac:dyDescent="0.25">
      <c r="A55" s="138"/>
      <c r="B55" s="138" t="s">
        <v>40</v>
      </c>
      <c r="C55" s="63">
        <f>C51+C50</f>
        <v>1314</v>
      </c>
      <c r="D55" s="63">
        <f t="shared" ref="D55:F55" si="27">D51+D50</f>
        <v>6643210</v>
      </c>
      <c r="E55" s="63">
        <f t="shared" si="27"/>
        <v>465024.70000000007</v>
      </c>
      <c r="F55" s="63">
        <f t="shared" si="27"/>
        <v>215970.38</v>
      </c>
      <c r="G55" s="62">
        <f t="shared" si="24"/>
        <v>3.2509943235273307E-2</v>
      </c>
      <c r="H55" s="119"/>
      <c r="I55" s="120"/>
      <c r="J55" s="120"/>
      <c r="K55" s="120"/>
      <c r="L55" s="120"/>
    </row>
    <row r="56" spans="1:12" x14ac:dyDescent="0.2">
      <c r="A56" s="7"/>
      <c r="B56" s="7"/>
      <c r="C56" s="8"/>
      <c r="D56" s="9"/>
      <c r="E56" s="9"/>
      <c r="F56" s="9"/>
      <c r="G56" s="106"/>
      <c r="H56" s="8"/>
      <c r="I56" s="136"/>
      <c r="J56" s="120"/>
      <c r="K56" s="120"/>
      <c r="L56" s="120"/>
    </row>
    <row r="57" spans="1:12" x14ac:dyDescent="0.2">
      <c r="A57" s="7"/>
      <c r="B57" s="7"/>
      <c r="C57" s="8"/>
      <c r="D57" s="9"/>
      <c r="E57" s="9"/>
      <c r="F57" s="9"/>
      <c r="G57" s="106"/>
      <c r="H57" s="8"/>
      <c r="I57" s="136"/>
      <c r="J57" s="120"/>
      <c r="K57" s="120"/>
      <c r="L57" s="120"/>
    </row>
    <row r="58" spans="1:12" ht="10.8" thickBot="1" x14ac:dyDescent="0.25">
      <c r="A58" s="7"/>
      <c r="B58" s="7"/>
      <c r="C58" s="8"/>
      <c r="D58" s="9"/>
      <c r="E58" s="9"/>
      <c r="F58" s="9"/>
      <c r="G58" s="106"/>
      <c r="H58" s="8"/>
      <c r="I58" s="136"/>
      <c r="J58" s="120"/>
      <c r="K58" s="120"/>
      <c r="L58" s="120"/>
    </row>
    <row r="59" spans="1:12" x14ac:dyDescent="0.2">
      <c r="A59" s="132" t="s">
        <v>31</v>
      </c>
      <c r="B59" s="133" t="s">
        <v>76</v>
      </c>
      <c r="C59" s="12"/>
      <c r="D59" s="12"/>
      <c r="E59" s="12"/>
      <c r="F59" s="25" t="s">
        <v>33</v>
      </c>
      <c r="G59" s="26"/>
      <c r="H59" s="8"/>
      <c r="I59" s="136"/>
      <c r="J59" s="120"/>
      <c r="K59" s="120"/>
      <c r="L59" s="120"/>
    </row>
    <row r="60" spans="1:12" ht="30.6" x14ac:dyDescent="0.2">
      <c r="A60" s="2" t="s">
        <v>31</v>
      </c>
      <c r="B60" s="14" t="s">
        <v>17</v>
      </c>
      <c r="C60" s="3" t="s">
        <v>28</v>
      </c>
      <c r="D60" s="4" t="s">
        <v>46</v>
      </c>
      <c r="E60" s="4" t="s">
        <v>35</v>
      </c>
      <c r="F60" s="27" t="s">
        <v>47</v>
      </c>
      <c r="G60" s="28" t="s">
        <v>47</v>
      </c>
      <c r="H60" s="8"/>
      <c r="I60" s="136"/>
      <c r="J60" s="120"/>
      <c r="K60" s="120"/>
      <c r="L60" s="120"/>
    </row>
    <row r="61" spans="1:12" x14ac:dyDescent="0.2">
      <c r="A61" s="5" t="s">
        <v>39</v>
      </c>
      <c r="B61" s="5" t="s">
        <v>85</v>
      </c>
      <c r="C61" s="1">
        <v>446</v>
      </c>
      <c r="D61" s="6">
        <v>3367681</v>
      </c>
      <c r="E61" s="6">
        <f>D61*2.5%</f>
        <v>84192.025000000009</v>
      </c>
      <c r="F61" s="6">
        <v>70496.31</v>
      </c>
      <c r="G61" s="49">
        <f>F61/D61</f>
        <v>2.0933191118755013E-2</v>
      </c>
      <c r="H61" s="8">
        <f>F61-E61</f>
        <v>-13695.715000000011</v>
      </c>
      <c r="I61" s="136"/>
      <c r="J61" s="120"/>
      <c r="K61" s="120"/>
      <c r="L61" s="120"/>
    </row>
    <row r="62" spans="1:12" x14ac:dyDescent="0.2">
      <c r="A62" s="5">
        <v>0</v>
      </c>
      <c r="B62" s="5" t="s">
        <v>77</v>
      </c>
      <c r="C62" s="1">
        <v>454</v>
      </c>
      <c r="D62" s="6">
        <v>3293270</v>
      </c>
      <c r="E62" s="6">
        <f>D62*2.5%</f>
        <v>82331.75</v>
      </c>
      <c r="F62" s="6">
        <v>63498.39</v>
      </c>
      <c r="G62" s="49">
        <f>F62/D62</f>
        <v>1.9281258445253503E-2</v>
      </c>
      <c r="H62" s="8">
        <f t="shared" ref="H62:H63" si="28">F62-E62</f>
        <v>-18833.36</v>
      </c>
      <c r="I62" s="136"/>
      <c r="J62" s="120"/>
      <c r="K62" s="120"/>
      <c r="L62" s="120"/>
    </row>
    <row r="63" spans="1:12" ht="10.8" thickBot="1" x14ac:dyDescent="0.25">
      <c r="A63" s="15"/>
      <c r="B63" s="15"/>
      <c r="C63" s="16">
        <f>SUM(C61:C62)</f>
        <v>900</v>
      </c>
      <c r="D63" s="17">
        <f>SUM(D61:D62)</f>
        <v>6660951</v>
      </c>
      <c r="E63" s="17">
        <f>SUM(E61:E62)</f>
        <v>166523.77500000002</v>
      </c>
      <c r="F63" s="18">
        <f>SUM(F61:F62)</f>
        <v>133994.70000000001</v>
      </c>
      <c r="G63" s="118">
        <f>F63/D63</f>
        <v>2.0116451839985013E-2</v>
      </c>
      <c r="H63" s="8">
        <f t="shared" si="28"/>
        <v>-32529.075000000012</v>
      </c>
      <c r="I63" s="136"/>
      <c r="J63" s="120"/>
      <c r="K63" s="120"/>
      <c r="L63" s="120"/>
    </row>
    <row r="64" spans="1:12" x14ac:dyDescent="0.2">
      <c r="A64" s="7"/>
      <c r="B64" s="7"/>
      <c r="C64" s="8"/>
      <c r="D64" s="9"/>
      <c r="E64" s="9"/>
      <c r="F64" s="9"/>
      <c r="G64" s="106"/>
      <c r="H64" s="8"/>
      <c r="I64" s="136"/>
      <c r="J64" s="120"/>
      <c r="K64" s="120"/>
      <c r="L64" s="120"/>
    </row>
    <row r="65" spans="1:12" x14ac:dyDescent="0.2">
      <c r="A65" s="7"/>
      <c r="B65" s="7"/>
      <c r="C65" s="8"/>
      <c r="D65" s="9"/>
      <c r="E65" s="9"/>
      <c r="F65" s="9"/>
      <c r="G65" s="106"/>
      <c r="H65" s="8"/>
      <c r="I65" s="136"/>
      <c r="J65" s="120"/>
      <c r="K65" s="120"/>
      <c r="L65" s="120"/>
    </row>
    <row r="66" spans="1:12" ht="10.8" thickBot="1" x14ac:dyDescent="0.25">
      <c r="C66" s="120"/>
      <c r="D66" s="122"/>
      <c r="E66" s="123"/>
      <c r="F66" s="123"/>
      <c r="G66" s="124"/>
      <c r="H66" s="8"/>
      <c r="I66" s="136"/>
      <c r="J66" s="120"/>
      <c r="K66" s="120"/>
      <c r="L66" s="120"/>
    </row>
    <row r="67" spans="1:12" x14ac:dyDescent="0.2">
      <c r="A67" s="132" t="s">
        <v>31</v>
      </c>
      <c r="B67" s="133" t="s">
        <v>78</v>
      </c>
      <c r="C67" s="12"/>
      <c r="D67" s="12"/>
      <c r="E67" s="12"/>
      <c r="F67" s="25" t="s">
        <v>33</v>
      </c>
      <c r="G67" s="50">
        <v>0.12</v>
      </c>
      <c r="H67" s="8"/>
      <c r="I67" s="136"/>
      <c r="J67" s="120"/>
      <c r="K67" s="120"/>
      <c r="L67" s="120"/>
    </row>
    <row r="68" spans="1:12" ht="30.6" x14ac:dyDescent="0.2">
      <c r="A68" s="2"/>
      <c r="B68" s="14" t="s">
        <v>17</v>
      </c>
      <c r="C68" s="3" t="s">
        <v>28</v>
      </c>
      <c r="D68" s="4" t="s">
        <v>46</v>
      </c>
      <c r="E68" s="4" t="s">
        <v>35</v>
      </c>
      <c r="F68" s="27" t="s">
        <v>47</v>
      </c>
      <c r="G68" s="28" t="s">
        <v>47</v>
      </c>
      <c r="H68" s="8"/>
      <c r="I68" s="136"/>
      <c r="J68" s="120"/>
      <c r="K68" s="120"/>
      <c r="L68" s="120"/>
    </row>
    <row r="69" spans="1:12" x14ac:dyDescent="0.2">
      <c r="A69" s="5">
        <v>0</v>
      </c>
      <c r="B69" s="5" t="s">
        <v>49</v>
      </c>
      <c r="C69" s="1">
        <v>315</v>
      </c>
      <c r="D69" s="6">
        <v>1254171</v>
      </c>
      <c r="E69" s="6">
        <f>D69*12%</f>
        <v>150500.51999999999</v>
      </c>
      <c r="F69" s="6">
        <v>86732.569999999992</v>
      </c>
      <c r="G69" s="11">
        <f>F69/D69</f>
        <v>6.9155298599632736E-2</v>
      </c>
      <c r="H69" s="8">
        <f>F69-E69</f>
        <v>-63767.95</v>
      </c>
      <c r="I69" s="136"/>
      <c r="J69" s="120"/>
      <c r="K69" s="120"/>
      <c r="L69" s="120"/>
    </row>
    <row r="70" spans="1:12" x14ac:dyDescent="0.2">
      <c r="A70" s="5">
        <v>0</v>
      </c>
      <c r="B70" s="5" t="s">
        <v>79</v>
      </c>
      <c r="C70" s="1">
        <v>314</v>
      </c>
      <c r="D70" s="6">
        <v>1254982</v>
      </c>
      <c r="E70" s="6">
        <f t="shared" ref="E70" si="29">D70*12%</f>
        <v>150597.84</v>
      </c>
      <c r="F70" s="6">
        <v>91196.89</v>
      </c>
      <c r="G70" s="11">
        <f t="shared" ref="G70:G71" si="30">F70/D70</f>
        <v>7.266788687009057E-2</v>
      </c>
      <c r="H70" s="8">
        <f t="shared" ref="H70:H71" si="31">F70-E70</f>
        <v>-59400.95</v>
      </c>
      <c r="I70" s="136"/>
      <c r="J70" s="120"/>
      <c r="K70" s="120"/>
      <c r="L70" s="120"/>
    </row>
    <row r="71" spans="1:12" ht="10.8" thickBot="1" x14ac:dyDescent="0.25">
      <c r="A71" s="15"/>
      <c r="B71" s="15" t="s">
        <v>50</v>
      </c>
      <c r="C71" s="16">
        <f>SUM(C69:C70)</f>
        <v>629</v>
      </c>
      <c r="D71" s="17">
        <f>SUM(D69:D70)</f>
        <v>2509153</v>
      </c>
      <c r="E71" s="17">
        <f>SUM(E69:E70)</f>
        <v>301098.36</v>
      </c>
      <c r="F71" s="18">
        <f>SUM(F69:F70)</f>
        <v>177929.46</v>
      </c>
      <c r="G71" s="11">
        <f t="shared" si="30"/>
        <v>7.0912160398349564E-2</v>
      </c>
      <c r="H71" s="8">
        <f t="shared" si="31"/>
        <v>-123168.9</v>
      </c>
      <c r="I71" s="136"/>
      <c r="J71" s="120"/>
      <c r="K71" s="120"/>
      <c r="L71" s="120"/>
    </row>
    <row r="72" spans="1:12" x14ac:dyDescent="0.2">
      <c r="A72" s="7"/>
      <c r="B72" s="7"/>
      <c r="C72" s="8"/>
      <c r="D72" s="9"/>
      <c r="E72" s="9"/>
      <c r="F72" s="9"/>
      <c r="G72" s="106"/>
      <c r="H72" s="8"/>
      <c r="I72" s="136"/>
      <c r="J72" s="120"/>
      <c r="K72" s="120"/>
      <c r="L72" s="120"/>
    </row>
    <row r="73" spans="1:12" x14ac:dyDescent="0.2">
      <c r="A73" s="7"/>
      <c r="B73" s="7"/>
      <c r="C73" s="8"/>
      <c r="D73" s="9"/>
      <c r="E73" s="9"/>
      <c r="F73" s="9"/>
      <c r="G73" s="106"/>
      <c r="H73" s="8"/>
      <c r="I73" s="136"/>
      <c r="J73" s="120"/>
      <c r="K73" s="120"/>
      <c r="L73" s="120"/>
    </row>
    <row r="74" spans="1:12" ht="10.8" thickBot="1" x14ac:dyDescent="0.25">
      <c r="C74" s="120"/>
      <c r="D74" s="122"/>
      <c r="E74" s="123"/>
      <c r="F74" s="123"/>
      <c r="G74" s="124"/>
      <c r="H74" s="8"/>
      <c r="I74" s="136"/>
      <c r="J74" s="120"/>
      <c r="K74" s="120"/>
      <c r="L74" s="120"/>
    </row>
    <row r="75" spans="1:12" x14ac:dyDescent="0.2">
      <c r="A75" s="132" t="s">
        <v>31</v>
      </c>
      <c r="B75" s="133" t="s">
        <v>80</v>
      </c>
      <c r="C75" s="12"/>
      <c r="D75" s="12"/>
      <c r="E75" s="12"/>
      <c r="F75" s="25" t="s">
        <v>33</v>
      </c>
      <c r="G75" s="26"/>
      <c r="H75" s="8"/>
      <c r="I75" s="136"/>
      <c r="J75" s="120"/>
      <c r="K75" s="120"/>
      <c r="L75" s="120"/>
    </row>
    <row r="76" spans="1:12" ht="30.6" x14ac:dyDescent="0.2">
      <c r="A76" s="2"/>
      <c r="B76" s="14" t="s">
        <v>17</v>
      </c>
      <c r="C76" s="3" t="s">
        <v>28</v>
      </c>
      <c r="D76" s="4" t="s">
        <v>34</v>
      </c>
      <c r="E76" s="4" t="s">
        <v>35</v>
      </c>
      <c r="F76" s="27" t="s">
        <v>51</v>
      </c>
      <c r="G76" s="28" t="s">
        <v>47</v>
      </c>
      <c r="H76" s="8"/>
      <c r="I76" s="136"/>
      <c r="J76" s="120"/>
      <c r="K76" s="120"/>
      <c r="L76" s="120"/>
    </row>
    <row r="77" spans="1:12" x14ac:dyDescent="0.2">
      <c r="A77" s="19">
        <v>0</v>
      </c>
      <c r="B77" s="19" t="s">
        <v>52</v>
      </c>
      <c r="C77" s="1">
        <v>80</v>
      </c>
      <c r="D77" s="6">
        <v>1685647</v>
      </c>
      <c r="E77" s="6">
        <f>D77*3%</f>
        <v>50569.409999999996</v>
      </c>
      <c r="F77" s="6">
        <v>4386.4400000000005</v>
      </c>
      <c r="G77" s="20">
        <f>F77/D77</f>
        <v>2.6022292923726024E-3</v>
      </c>
      <c r="H77" s="8">
        <f>F77-E77</f>
        <v>-46182.969999999994</v>
      </c>
      <c r="I77" s="136"/>
      <c r="J77" s="120"/>
      <c r="K77" s="120"/>
      <c r="L77" s="120"/>
    </row>
    <row r="78" spans="1:12" x14ac:dyDescent="0.2">
      <c r="A78" s="19">
        <v>0</v>
      </c>
      <c r="B78" s="19" t="s">
        <v>81</v>
      </c>
      <c r="C78" s="1">
        <v>75</v>
      </c>
      <c r="D78" s="6">
        <v>1686850</v>
      </c>
      <c r="E78" s="6">
        <f t="shared" ref="E78" si="32">D78*3%</f>
        <v>50605.5</v>
      </c>
      <c r="F78" s="6">
        <v>59235</v>
      </c>
      <c r="G78" s="20">
        <f>F78/D78</f>
        <v>3.511574828822954E-2</v>
      </c>
      <c r="H78" s="8">
        <f t="shared" ref="H78:H79" si="33">F78-E78</f>
        <v>8629.5</v>
      </c>
      <c r="I78" s="136"/>
      <c r="J78" s="120"/>
      <c r="K78" s="120"/>
      <c r="L78" s="120"/>
    </row>
    <row r="79" spans="1:12" ht="10.8" thickBot="1" x14ac:dyDescent="0.25">
      <c r="A79" s="21"/>
      <c r="B79" s="21" t="s">
        <v>50</v>
      </c>
      <c r="C79" s="116">
        <f>SUM(C77:C78)</f>
        <v>155</v>
      </c>
      <c r="D79" s="29">
        <f>SUM(D77:D78)</f>
        <v>3372497</v>
      </c>
      <c r="E79" s="29">
        <f>SUM(E77:E78)</f>
        <v>101174.91</v>
      </c>
      <c r="F79" s="22">
        <f>SUM(F77:F78)</f>
        <v>63621.440000000002</v>
      </c>
      <c r="G79" s="23">
        <f>F79/D79</f>
        <v>1.886478772256877E-2</v>
      </c>
      <c r="H79" s="8">
        <f t="shared" si="33"/>
        <v>-37553.47</v>
      </c>
      <c r="I79" s="136"/>
      <c r="J79" s="120"/>
      <c r="K79" s="120"/>
      <c r="L79" s="120"/>
    </row>
    <row r="80" spans="1:12" x14ac:dyDescent="0.2">
      <c r="A80" s="7"/>
      <c r="B80" s="7"/>
      <c r="C80" s="8"/>
      <c r="D80" s="9"/>
      <c r="E80" s="9"/>
      <c r="F80" s="9"/>
      <c r="G80" s="106"/>
      <c r="H80" s="8"/>
      <c r="I80" s="136"/>
      <c r="J80" s="120"/>
      <c r="K80" s="120"/>
      <c r="L80" s="120"/>
    </row>
    <row r="81" spans="1:12" ht="10.8" thickBot="1" x14ac:dyDescent="0.25">
      <c r="C81" s="120"/>
      <c r="D81" s="122"/>
      <c r="E81" s="123"/>
      <c r="F81" s="123"/>
      <c r="G81" s="124"/>
      <c r="H81" s="8"/>
      <c r="I81" s="136"/>
      <c r="J81" s="120"/>
      <c r="K81" s="120"/>
      <c r="L81" s="120"/>
    </row>
    <row r="82" spans="1:12" x14ac:dyDescent="0.2">
      <c r="A82" s="132" t="s">
        <v>31</v>
      </c>
      <c r="B82" s="133" t="s">
        <v>53</v>
      </c>
      <c r="C82" s="12"/>
      <c r="D82" s="12"/>
      <c r="E82" s="12"/>
      <c r="F82" s="25" t="s">
        <v>33</v>
      </c>
      <c r="G82" s="26"/>
      <c r="H82" s="8"/>
      <c r="I82" s="136"/>
      <c r="J82" s="120"/>
      <c r="K82" s="120"/>
      <c r="L82" s="120"/>
    </row>
    <row r="83" spans="1:12" ht="30.6" x14ac:dyDescent="0.2">
      <c r="A83" s="2" t="s">
        <v>31</v>
      </c>
      <c r="B83" s="14" t="s">
        <v>17</v>
      </c>
      <c r="C83" s="3" t="s">
        <v>28</v>
      </c>
      <c r="D83" s="4" t="s">
        <v>54</v>
      </c>
      <c r="E83" s="4" t="s">
        <v>42</v>
      </c>
      <c r="F83" s="27" t="s">
        <v>55</v>
      </c>
      <c r="G83" s="28" t="s">
        <v>56</v>
      </c>
      <c r="H83" s="8"/>
      <c r="I83" s="136"/>
      <c r="J83" s="120"/>
      <c r="K83" s="120"/>
      <c r="L83" s="120"/>
    </row>
    <row r="84" spans="1:12" x14ac:dyDescent="0.2">
      <c r="A84" s="19" t="s">
        <v>40</v>
      </c>
      <c r="B84" s="19" t="s">
        <v>99</v>
      </c>
      <c r="C84" s="1">
        <v>634</v>
      </c>
      <c r="D84" s="6">
        <v>10353724</v>
      </c>
      <c r="E84" s="6">
        <v>300000</v>
      </c>
      <c r="F84" s="6">
        <v>178491.57999999996</v>
      </c>
      <c r="G84" s="20">
        <f t="shared" ref="G84:G93" si="34">F84/D84</f>
        <v>1.7239360446540775E-2</v>
      </c>
      <c r="H84" s="8">
        <f t="shared" ref="H84:H90" si="35">F84-E84</f>
        <v>-121508.42000000004</v>
      </c>
      <c r="I84" s="136"/>
      <c r="J84" s="120"/>
      <c r="K84" s="120"/>
      <c r="L84" s="120"/>
    </row>
    <row r="85" spans="1:12" x14ac:dyDescent="0.2">
      <c r="A85" s="19" t="s">
        <v>40</v>
      </c>
      <c r="B85" s="19" t="s">
        <v>100</v>
      </c>
      <c r="C85" s="1">
        <v>634</v>
      </c>
      <c r="D85" s="1">
        <v>10281427</v>
      </c>
      <c r="E85" s="6">
        <v>300000</v>
      </c>
      <c r="F85" s="6">
        <v>188008.65</v>
      </c>
      <c r="G85" s="20">
        <f t="shared" si="34"/>
        <v>1.8286240810735706E-2</v>
      </c>
      <c r="H85" s="8">
        <f t="shared" si="35"/>
        <v>-111991.35</v>
      </c>
      <c r="I85" s="136"/>
      <c r="J85" s="120"/>
      <c r="K85" s="120"/>
      <c r="L85" s="120"/>
    </row>
    <row r="86" spans="1:12" x14ac:dyDescent="0.2">
      <c r="A86" s="19" t="s">
        <v>39</v>
      </c>
      <c r="B86" s="19" t="s">
        <v>101</v>
      </c>
      <c r="C86" s="1">
        <v>645</v>
      </c>
      <c r="D86" s="6">
        <v>10490712</v>
      </c>
      <c r="E86" s="6">
        <v>300000</v>
      </c>
      <c r="F86" s="6">
        <v>108567.15</v>
      </c>
      <c r="G86" s="20">
        <f t="shared" si="34"/>
        <v>1.0348882897557381E-2</v>
      </c>
      <c r="H86" s="8">
        <f t="shared" si="35"/>
        <v>-191432.85</v>
      </c>
      <c r="I86" s="136"/>
      <c r="J86" s="120"/>
      <c r="K86" s="120"/>
      <c r="L86" s="120"/>
    </row>
    <row r="87" spans="1:12" x14ac:dyDescent="0.2">
      <c r="A87" s="19" t="s">
        <v>40</v>
      </c>
      <c r="B87" s="19" t="s">
        <v>102</v>
      </c>
      <c r="C87" s="1">
        <v>631</v>
      </c>
      <c r="D87" s="6">
        <v>10276121</v>
      </c>
      <c r="E87" s="6">
        <v>300000</v>
      </c>
      <c r="F87" s="6">
        <v>82777.489999999991</v>
      </c>
      <c r="G87" s="20">
        <f t="shared" si="34"/>
        <v>8.0553245723751204E-3</v>
      </c>
      <c r="H87" s="8">
        <f t="shared" si="35"/>
        <v>-217222.51</v>
      </c>
      <c r="I87" s="136"/>
      <c r="J87" s="120"/>
      <c r="K87" s="120"/>
      <c r="L87" s="120"/>
    </row>
    <row r="88" spans="1:12" x14ac:dyDescent="0.2">
      <c r="A88" s="19" t="s">
        <v>39</v>
      </c>
      <c r="B88" s="19" t="s">
        <v>30</v>
      </c>
      <c r="C88" s="1">
        <v>627</v>
      </c>
      <c r="D88" s="1">
        <v>10282174</v>
      </c>
      <c r="E88" s="6">
        <v>300000</v>
      </c>
      <c r="F88" s="6">
        <v>210230.53</v>
      </c>
      <c r="G88" s="20">
        <f t="shared" si="34"/>
        <v>2.0446116745349768E-2</v>
      </c>
      <c r="H88" s="8">
        <f t="shared" si="35"/>
        <v>-89769.47</v>
      </c>
      <c r="I88" s="136"/>
      <c r="J88" s="120"/>
      <c r="K88" s="120"/>
      <c r="L88" s="120"/>
    </row>
    <row r="89" spans="1:12" x14ac:dyDescent="0.2">
      <c r="A89" s="19">
        <v>0</v>
      </c>
      <c r="B89" s="19" t="s">
        <v>57</v>
      </c>
      <c r="C89" s="1">
        <v>630</v>
      </c>
      <c r="D89" s="6">
        <v>10222592</v>
      </c>
      <c r="E89" s="6">
        <v>300000</v>
      </c>
      <c r="F89" s="6">
        <v>124939.42</v>
      </c>
      <c r="G89" s="20">
        <f t="shared" si="34"/>
        <v>1.2221892451542623E-2</v>
      </c>
      <c r="H89" s="8">
        <f t="shared" si="35"/>
        <v>-175060.58000000002</v>
      </c>
      <c r="I89" s="136"/>
      <c r="J89" s="120"/>
      <c r="K89" s="121"/>
      <c r="L89" s="120"/>
    </row>
    <row r="90" spans="1:12" ht="10.8" thickBot="1" x14ac:dyDescent="0.25">
      <c r="A90" s="21"/>
      <c r="B90" s="21"/>
      <c r="C90" s="116">
        <f>SUM(C84:C89)</f>
        <v>3801</v>
      </c>
      <c r="D90" s="116">
        <f>SUM(D84:D89)</f>
        <v>61906750</v>
      </c>
      <c r="E90" s="116">
        <f>SUM(E84:E89)</f>
        <v>1800000</v>
      </c>
      <c r="F90" s="22">
        <f>SUM(F84:F89)</f>
        <v>893014.82000000007</v>
      </c>
      <c r="G90" s="23">
        <f t="shared" si="34"/>
        <v>1.4425160745799127E-2</v>
      </c>
      <c r="H90" s="8">
        <f t="shared" si="35"/>
        <v>-906985.17999999993</v>
      </c>
      <c r="I90" s="136"/>
      <c r="J90" s="120"/>
      <c r="K90" s="120"/>
      <c r="L90" s="120"/>
    </row>
    <row r="91" spans="1:12" ht="10.8" thickBot="1" x14ac:dyDescent="0.25">
      <c r="A91" s="7"/>
      <c r="B91" s="7"/>
      <c r="C91" s="8"/>
      <c r="D91" s="8"/>
      <c r="E91" s="8"/>
      <c r="F91" s="9"/>
      <c r="G91" s="106"/>
      <c r="H91" s="8"/>
      <c r="I91" s="136"/>
      <c r="J91" s="120"/>
      <c r="K91" s="120"/>
      <c r="L91" s="120"/>
    </row>
    <row r="92" spans="1:12" ht="10.8" thickBot="1" x14ac:dyDescent="0.25">
      <c r="A92" s="137"/>
      <c r="B92" s="137" t="s">
        <v>39</v>
      </c>
      <c r="C92" s="12">
        <f>C88+C86</f>
        <v>1272</v>
      </c>
      <c r="D92" s="12">
        <f t="shared" ref="D92:F92" si="36">D88+D86</f>
        <v>20772886</v>
      </c>
      <c r="E92" s="12">
        <f t="shared" si="36"/>
        <v>600000</v>
      </c>
      <c r="F92" s="12">
        <f t="shared" si="36"/>
        <v>318797.68</v>
      </c>
      <c r="G92" s="62">
        <f t="shared" si="34"/>
        <v>1.5346816999814085E-2</v>
      </c>
      <c r="H92" s="8"/>
      <c r="I92" s="136"/>
      <c r="J92" s="120"/>
      <c r="K92" s="120"/>
      <c r="L92" s="120"/>
    </row>
    <row r="93" spans="1:12" ht="10.8" thickBot="1" x14ac:dyDescent="0.25">
      <c r="A93" s="138"/>
      <c r="B93" s="138" t="s">
        <v>40</v>
      </c>
      <c r="C93" s="63">
        <f>C87+C85+C84</f>
        <v>1899</v>
      </c>
      <c r="D93" s="63">
        <f t="shared" ref="D93:F93" si="37">D87+D85+D84</f>
        <v>30911272</v>
      </c>
      <c r="E93" s="63">
        <f t="shared" si="37"/>
        <v>900000</v>
      </c>
      <c r="F93" s="63">
        <f t="shared" si="37"/>
        <v>449277.72</v>
      </c>
      <c r="G93" s="62">
        <f t="shared" si="34"/>
        <v>1.453443002927864E-2</v>
      </c>
      <c r="H93" s="8"/>
      <c r="I93" s="136"/>
      <c r="J93" s="120"/>
      <c r="K93" s="120"/>
      <c r="L93" s="120"/>
    </row>
    <row r="94" spans="1:12" x14ac:dyDescent="0.2">
      <c r="A94" s="7"/>
      <c r="B94" s="7"/>
      <c r="C94" s="8"/>
      <c r="D94" s="8"/>
      <c r="E94" s="8"/>
      <c r="F94" s="9"/>
      <c r="G94" s="106"/>
      <c r="H94" s="8"/>
      <c r="I94" s="136"/>
      <c r="J94" s="120"/>
      <c r="K94" s="120"/>
      <c r="L94" s="120"/>
    </row>
    <row r="95" spans="1:12" ht="10.8" thickBot="1" x14ac:dyDescent="0.25">
      <c r="A95" s="7"/>
      <c r="B95" s="7"/>
      <c r="C95" s="8"/>
      <c r="D95" s="8"/>
      <c r="E95" s="8"/>
      <c r="F95" s="9"/>
      <c r="G95" s="106"/>
      <c r="H95" s="8"/>
      <c r="I95" s="136"/>
      <c r="J95" s="120"/>
      <c r="K95" s="120"/>
      <c r="L95" s="120"/>
    </row>
    <row r="96" spans="1:12" x14ac:dyDescent="0.2">
      <c r="A96" s="132" t="s">
        <v>31</v>
      </c>
      <c r="B96" s="133" t="s">
        <v>59</v>
      </c>
      <c r="C96" s="12"/>
      <c r="D96" s="12"/>
      <c r="E96" s="12"/>
      <c r="F96" s="25" t="s">
        <v>33</v>
      </c>
      <c r="G96" s="26"/>
      <c r="H96" s="8"/>
      <c r="I96" s="136"/>
      <c r="J96" s="120"/>
      <c r="K96" s="120"/>
      <c r="L96" s="120"/>
    </row>
    <row r="97" spans="1:12" ht="30.6" x14ac:dyDescent="0.2">
      <c r="A97" s="2"/>
      <c r="B97" s="14" t="s">
        <v>17</v>
      </c>
      <c r="C97" s="3" t="s">
        <v>28</v>
      </c>
      <c r="D97" s="4" t="s">
        <v>60</v>
      </c>
      <c r="E97" s="4" t="s">
        <v>35</v>
      </c>
      <c r="F97" s="27" t="s">
        <v>51</v>
      </c>
      <c r="G97" s="28" t="s">
        <v>47</v>
      </c>
      <c r="H97" s="8"/>
      <c r="I97" s="136"/>
      <c r="J97" s="120"/>
      <c r="K97" s="120"/>
      <c r="L97" s="120"/>
    </row>
    <row r="98" spans="1:12" x14ac:dyDescent="0.2">
      <c r="A98" s="19">
        <v>0</v>
      </c>
      <c r="B98" s="19" t="s">
        <v>61</v>
      </c>
      <c r="C98" s="1">
        <v>419</v>
      </c>
      <c r="D98" s="6">
        <v>11308346</v>
      </c>
      <c r="E98" s="6">
        <f>D98*3%</f>
        <v>339250.38</v>
      </c>
      <c r="F98" s="6">
        <v>62445.94</v>
      </c>
      <c r="G98" s="20">
        <f>F98/D98</f>
        <v>5.5221108374292763E-3</v>
      </c>
      <c r="H98" s="8">
        <f>F98-E98</f>
        <v>-276804.44</v>
      </c>
      <c r="I98" s="136"/>
      <c r="J98" s="120"/>
      <c r="K98" s="120"/>
      <c r="L98" s="120"/>
    </row>
    <row r="99" spans="1:12" x14ac:dyDescent="0.2">
      <c r="A99" s="19">
        <v>0</v>
      </c>
      <c r="B99" s="19" t="s">
        <v>82</v>
      </c>
      <c r="C99" s="1">
        <v>419</v>
      </c>
      <c r="D99" s="6">
        <v>11309150</v>
      </c>
      <c r="E99" s="6">
        <f t="shared" ref="E99" si="38">D99*3%</f>
        <v>339274.5</v>
      </c>
      <c r="F99" s="6">
        <v>71.63</v>
      </c>
      <c r="G99" s="20">
        <f t="shared" ref="G99:G100" si="39">F99/D99</f>
        <v>6.3338093490669056E-6</v>
      </c>
      <c r="H99" s="8">
        <f t="shared" ref="H99:H100" si="40">F99-E99</f>
        <v>-339202.87</v>
      </c>
      <c r="I99" s="136"/>
      <c r="J99" s="120"/>
      <c r="K99" s="120"/>
      <c r="L99" s="120"/>
    </row>
    <row r="100" spans="1:12" ht="10.8" thickBot="1" x14ac:dyDescent="0.25">
      <c r="A100" s="21"/>
      <c r="B100" s="21" t="s">
        <v>50</v>
      </c>
      <c r="C100" s="116">
        <f>SUM(C98:C99)</f>
        <v>838</v>
      </c>
      <c r="D100" s="29">
        <f>SUM(D98:D99)</f>
        <v>22617496</v>
      </c>
      <c r="E100" s="29">
        <f>SUM(E98:E99)</f>
        <v>678524.88</v>
      </c>
      <c r="F100" s="22">
        <f>SUM(F98:F99)</f>
        <v>62517.57</v>
      </c>
      <c r="G100" s="23">
        <f t="shared" si="39"/>
        <v>2.7641242867910754E-3</v>
      </c>
      <c r="H100" s="8">
        <f t="shared" si="40"/>
        <v>-616007.31000000006</v>
      </c>
      <c r="I100" s="136"/>
      <c r="J100" s="120"/>
      <c r="K100" s="120"/>
      <c r="L100" s="120"/>
    </row>
    <row r="101" spans="1:12" x14ac:dyDescent="0.2">
      <c r="C101" s="120"/>
      <c r="D101" s="122"/>
      <c r="E101" s="123"/>
      <c r="F101" s="123"/>
      <c r="G101" s="124"/>
      <c r="H101" s="8"/>
      <c r="I101" s="136"/>
      <c r="J101" s="120"/>
      <c r="K101" s="120"/>
      <c r="L101" s="120"/>
    </row>
    <row r="102" spans="1:12" x14ac:dyDescent="0.2">
      <c r="C102" s="120"/>
      <c r="D102" s="122"/>
      <c r="E102" s="123"/>
      <c r="F102" s="123"/>
      <c r="G102" s="124"/>
      <c r="H102" s="8"/>
      <c r="I102" s="136"/>
      <c r="J102" s="120"/>
      <c r="K102" s="120"/>
      <c r="L102" s="120"/>
    </row>
    <row r="103" spans="1:12" ht="10.8" thickBot="1" x14ac:dyDescent="0.25">
      <c r="C103" s="120"/>
      <c r="D103" s="122"/>
      <c r="E103" s="123"/>
      <c r="F103" s="123"/>
      <c r="G103" s="124"/>
      <c r="H103" s="8"/>
      <c r="I103" s="136"/>
      <c r="J103" s="120"/>
      <c r="K103" s="120"/>
      <c r="L103" s="120"/>
    </row>
    <row r="104" spans="1:12" x14ac:dyDescent="0.2">
      <c r="A104" s="132" t="s">
        <v>31</v>
      </c>
      <c r="B104" s="133" t="s">
        <v>83</v>
      </c>
      <c r="C104" s="12"/>
      <c r="D104" s="12"/>
      <c r="E104" s="12"/>
      <c r="F104" s="25" t="s">
        <v>33</v>
      </c>
      <c r="G104" s="26"/>
      <c r="H104" s="8"/>
      <c r="I104" s="136"/>
      <c r="J104" s="120"/>
      <c r="K104" s="120"/>
      <c r="L104" s="120"/>
    </row>
    <row r="105" spans="1:12" ht="30.6" x14ac:dyDescent="0.2">
      <c r="A105" s="14"/>
      <c r="B105" s="14" t="s">
        <v>17</v>
      </c>
      <c r="C105" s="3" t="s">
        <v>28</v>
      </c>
      <c r="D105" s="4" t="s">
        <v>60</v>
      </c>
      <c r="E105" s="4" t="s">
        <v>35</v>
      </c>
      <c r="F105" s="27" t="s">
        <v>51</v>
      </c>
      <c r="G105" s="28" t="s">
        <v>47</v>
      </c>
      <c r="H105" s="8"/>
      <c r="I105" s="136"/>
      <c r="J105" s="121"/>
      <c r="K105" s="120"/>
      <c r="L105" s="120"/>
    </row>
    <row r="106" spans="1:12" x14ac:dyDescent="0.2">
      <c r="A106" s="19">
        <v>0</v>
      </c>
      <c r="B106" s="19" t="s">
        <v>62</v>
      </c>
      <c r="C106" s="1">
        <v>463</v>
      </c>
      <c r="D106" s="6">
        <v>12015992</v>
      </c>
      <c r="E106" s="6">
        <f>D106*2%</f>
        <v>240319.84</v>
      </c>
      <c r="F106" s="6">
        <v>52666.31</v>
      </c>
      <c r="G106" s="20">
        <f t="shared" ref="G106:G108" si="41">F106/D106</f>
        <v>4.3830180645925863E-3</v>
      </c>
      <c r="H106" s="8">
        <f>F106-E106</f>
        <v>-187653.53</v>
      </c>
      <c r="I106" s="136"/>
      <c r="J106" s="120"/>
      <c r="K106" s="120"/>
      <c r="L106" s="120"/>
    </row>
    <row r="107" spans="1:12" x14ac:dyDescent="0.2">
      <c r="A107" s="19">
        <v>0</v>
      </c>
      <c r="B107" s="19" t="s">
        <v>90</v>
      </c>
      <c r="C107" s="1">
        <v>461</v>
      </c>
      <c r="D107" s="6">
        <v>12129948</v>
      </c>
      <c r="E107" s="6">
        <f t="shared" ref="E107:E109" si="42">D107*2%</f>
        <v>242598.96</v>
      </c>
      <c r="F107" s="6">
        <v>86879.569999999992</v>
      </c>
      <c r="G107" s="20">
        <f t="shared" si="41"/>
        <v>7.1624025098870987E-3</v>
      </c>
      <c r="H107" s="8">
        <f t="shared" ref="H107:H110" si="43">F107-E107</f>
        <v>-155719.39000000001</v>
      </c>
      <c r="I107" s="136"/>
      <c r="J107" s="120"/>
      <c r="K107" s="120"/>
      <c r="L107" s="120"/>
    </row>
    <row r="108" spans="1:12" x14ac:dyDescent="0.2">
      <c r="A108" s="19">
        <v>0</v>
      </c>
      <c r="B108" s="19" t="s">
        <v>91</v>
      </c>
      <c r="C108" s="1">
        <v>464</v>
      </c>
      <c r="D108" s="6">
        <v>12171747</v>
      </c>
      <c r="E108" s="6">
        <f t="shared" si="42"/>
        <v>243434.94</v>
      </c>
      <c r="F108" s="6">
        <v>121083.53000000001</v>
      </c>
      <c r="G108" s="20">
        <f t="shared" si="41"/>
        <v>9.9479170902911484E-3</v>
      </c>
      <c r="H108" s="8">
        <f t="shared" si="43"/>
        <v>-122351.40999999999</v>
      </c>
      <c r="I108" s="136"/>
      <c r="J108" s="120"/>
      <c r="K108" s="120"/>
      <c r="L108" s="120"/>
    </row>
    <row r="109" spans="1:12" x14ac:dyDescent="0.2">
      <c r="A109" s="19" t="s">
        <v>40</v>
      </c>
      <c r="B109" s="19" t="s">
        <v>20</v>
      </c>
      <c r="C109" s="1">
        <v>452</v>
      </c>
      <c r="D109" s="6">
        <v>12248545</v>
      </c>
      <c r="E109" s="6">
        <f t="shared" si="42"/>
        <v>244970.9</v>
      </c>
      <c r="F109" s="6">
        <v>18915</v>
      </c>
      <c r="G109" s="20">
        <f>F109/D109</f>
        <v>1.5442650535226836E-3</v>
      </c>
      <c r="H109" s="8">
        <f t="shared" si="43"/>
        <v>-226055.9</v>
      </c>
      <c r="I109" s="136"/>
      <c r="J109" s="120"/>
      <c r="K109" s="120"/>
      <c r="L109" s="120"/>
    </row>
    <row r="110" spans="1:12" ht="10.8" thickBot="1" x14ac:dyDescent="0.25">
      <c r="A110" s="21"/>
      <c r="B110" s="21" t="s">
        <v>50</v>
      </c>
      <c r="C110" s="116">
        <f>SUM(C106:C109)</f>
        <v>1840</v>
      </c>
      <c r="D110" s="29">
        <f>SUM(D106:D109)</f>
        <v>48566232</v>
      </c>
      <c r="E110" s="29">
        <f>SUM(E106:E109)</f>
        <v>971324.64</v>
      </c>
      <c r="F110" s="22">
        <f>SUM(F106:F109)</f>
        <v>279544.41000000003</v>
      </c>
      <c r="G110" s="30">
        <f>F110/D110</f>
        <v>5.7559419063023054E-3</v>
      </c>
      <c r="H110" s="8">
        <f t="shared" si="43"/>
        <v>-691780.23</v>
      </c>
      <c r="I110" s="136"/>
      <c r="J110" s="120"/>
      <c r="K110" s="120"/>
      <c r="L110" s="120"/>
    </row>
    <row r="111" spans="1:12" x14ac:dyDescent="0.2">
      <c r="C111" s="120"/>
      <c r="D111" s="122"/>
      <c r="E111" s="123"/>
      <c r="F111" s="123"/>
      <c r="G111" s="124"/>
      <c r="H111" s="8"/>
      <c r="I111" s="136"/>
      <c r="J111" s="120"/>
      <c r="K111" s="120"/>
      <c r="L111" s="120"/>
    </row>
    <row r="112" spans="1:12" x14ac:dyDescent="0.2">
      <c r="C112" s="120"/>
      <c r="D112" s="122"/>
      <c r="E112" s="123"/>
      <c r="F112" s="123"/>
      <c r="G112" s="124"/>
      <c r="H112" s="8"/>
      <c r="I112" s="136"/>
      <c r="J112" s="120"/>
      <c r="K112" s="120"/>
      <c r="L112" s="120"/>
    </row>
    <row r="113" spans="1:12" ht="10.8" thickBot="1" x14ac:dyDescent="0.25">
      <c r="C113" s="120"/>
      <c r="D113" s="122"/>
      <c r="E113" s="123"/>
      <c r="F113" s="123"/>
      <c r="G113" s="123"/>
      <c r="H113" s="8"/>
      <c r="I113" s="136"/>
      <c r="J113" s="120"/>
      <c r="K113" s="120"/>
      <c r="L113" s="120"/>
    </row>
    <row r="114" spans="1:12" x14ac:dyDescent="0.2">
      <c r="A114" s="132" t="s">
        <v>31</v>
      </c>
      <c r="B114" s="133" t="s">
        <v>84</v>
      </c>
      <c r="C114" s="12"/>
      <c r="D114" s="12"/>
      <c r="E114" s="12"/>
      <c r="F114" s="25" t="s">
        <v>33</v>
      </c>
      <c r="G114" s="26"/>
      <c r="H114" s="8"/>
      <c r="I114" s="136"/>
      <c r="J114" s="120"/>
      <c r="K114" s="120"/>
      <c r="L114" s="120"/>
    </row>
    <row r="115" spans="1:12" ht="30.6" x14ac:dyDescent="0.2">
      <c r="A115" s="14"/>
      <c r="B115" s="14" t="s">
        <v>17</v>
      </c>
      <c r="C115" s="3" t="s">
        <v>28</v>
      </c>
      <c r="D115" s="4" t="s">
        <v>34</v>
      </c>
      <c r="E115" s="4" t="s">
        <v>35</v>
      </c>
      <c r="F115" s="27" t="s">
        <v>51</v>
      </c>
      <c r="G115" s="28" t="s">
        <v>47</v>
      </c>
      <c r="H115" s="8"/>
      <c r="I115" s="136"/>
      <c r="J115" s="120"/>
      <c r="K115" s="120"/>
      <c r="L115" s="120"/>
    </row>
    <row r="116" spans="1:12" x14ac:dyDescent="0.2">
      <c r="A116" s="139">
        <v>0</v>
      </c>
      <c r="B116" s="139" t="s">
        <v>64</v>
      </c>
      <c r="C116" s="140">
        <v>622</v>
      </c>
      <c r="D116" s="140">
        <v>8454778</v>
      </c>
      <c r="E116" s="6">
        <f>D116*3.5%</f>
        <v>295917.23000000004</v>
      </c>
      <c r="F116" s="6">
        <v>51630.14</v>
      </c>
      <c r="G116" s="11">
        <f t="shared" ref="G116:G118" si="44">F116/D116</f>
        <v>6.1066227877302039E-3</v>
      </c>
      <c r="H116" s="8">
        <f>F116-E116</f>
        <v>-244287.09000000003</v>
      </c>
      <c r="I116" s="136"/>
      <c r="J116" s="120"/>
      <c r="K116" s="120"/>
      <c r="L116" s="120"/>
    </row>
    <row r="117" spans="1:12" x14ac:dyDescent="0.2">
      <c r="A117" s="139">
        <v>0</v>
      </c>
      <c r="B117" s="139" t="s">
        <v>65</v>
      </c>
      <c r="C117" s="140">
        <v>657</v>
      </c>
      <c r="D117" s="140">
        <v>8640879</v>
      </c>
      <c r="E117" s="6">
        <f t="shared" ref="E117:E119" si="45">D117*3.5%</f>
        <v>302430.76500000001</v>
      </c>
      <c r="F117" s="6">
        <v>87921.47</v>
      </c>
      <c r="G117" s="11">
        <f t="shared" si="44"/>
        <v>1.0175060893689173E-2</v>
      </c>
      <c r="H117" s="8">
        <f t="shared" ref="H117:H120" si="46">F117-E117</f>
        <v>-214509.29500000001</v>
      </c>
      <c r="I117" s="136"/>
      <c r="J117" s="120"/>
      <c r="K117" s="120"/>
      <c r="L117" s="120"/>
    </row>
    <row r="118" spans="1:12" x14ac:dyDescent="0.2">
      <c r="A118" s="139">
        <v>0</v>
      </c>
      <c r="B118" s="139" t="s">
        <v>92</v>
      </c>
      <c r="C118" s="140">
        <v>650</v>
      </c>
      <c r="D118" s="140">
        <v>8564063</v>
      </c>
      <c r="E118" s="6">
        <f t="shared" si="45"/>
        <v>299742.20500000002</v>
      </c>
      <c r="F118" s="6">
        <v>151376.37</v>
      </c>
      <c r="G118" s="11">
        <f t="shared" si="44"/>
        <v>1.7675765579958952E-2</v>
      </c>
      <c r="H118" s="8">
        <f t="shared" si="46"/>
        <v>-148365.83500000002</v>
      </c>
      <c r="I118" s="136"/>
      <c r="J118" s="120"/>
      <c r="K118" s="120"/>
      <c r="L118" s="120"/>
    </row>
    <row r="119" spans="1:12" x14ac:dyDescent="0.2">
      <c r="A119" s="139" t="s">
        <v>40</v>
      </c>
      <c r="B119" s="139" t="s">
        <v>19</v>
      </c>
      <c r="C119" s="140">
        <v>639</v>
      </c>
      <c r="D119" s="140">
        <v>8525505</v>
      </c>
      <c r="E119" s="6">
        <f t="shared" si="45"/>
        <v>298392.67500000005</v>
      </c>
      <c r="F119" s="6">
        <v>69456.570000000007</v>
      </c>
      <c r="G119" s="11">
        <f>F119/D119</f>
        <v>8.1469156372555064E-3</v>
      </c>
      <c r="H119" s="8">
        <f t="shared" si="46"/>
        <v>-228936.10500000004</v>
      </c>
      <c r="I119" s="136"/>
      <c r="J119" s="120"/>
      <c r="K119" s="120"/>
      <c r="L119" s="120"/>
    </row>
    <row r="120" spans="1:12" ht="10.8" thickBot="1" x14ac:dyDescent="0.25">
      <c r="A120" s="21"/>
      <c r="B120" s="21" t="s">
        <v>50</v>
      </c>
      <c r="C120" s="116">
        <f>SUM(C116:C119)</f>
        <v>2568</v>
      </c>
      <c r="D120" s="29">
        <f>SUM(D116:D119)</f>
        <v>34185225</v>
      </c>
      <c r="E120" s="29">
        <f>SUM(E116:E119)</f>
        <v>1196482.8750000002</v>
      </c>
      <c r="F120" s="22">
        <f>SUM(F116:F119)</f>
        <v>360384.55</v>
      </c>
      <c r="G120" s="23">
        <f>F120/D120</f>
        <v>1.054211431985602E-2</v>
      </c>
      <c r="H120" s="8">
        <f t="shared" si="46"/>
        <v>-836098.32500000019</v>
      </c>
      <c r="I120" s="136"/>
      <c r="J120" s="120"/>
      <c r="K120" s="120"/>
      <c r="L120" s="120"/>
    </row>
    <row r="121" spans="1:12" x14ac:dyDescent="0.2">
      <c r="C121" s="120"/>
      <c r="D121" s="122"/>
      <c r="E121" s="123"/>
      <c r="F121" s="123"/>
      <c r="G121" s="123"/>
      <c r="H121" s="180"/>
      <c r="I121" s="123"/>
      <c r="J121" s="120"/>
      <c r="K121" s="120"/>
      <c r="L121" s="120"/>
    </row>
    <row r="122" spans="1:12" x14ac:dyDescent="0.2">
      <c r="C122" s="120"/>
      <c r="D122" s="122"/>
      <c r="E122" s="123"/>
      <c r="F122" s="123"/>
      <c r="G122" s="123"/>
      <c r="H122" s="123"/>
      <c r="I122" s="124"/>
      <c r="J122" s="120"/>
      <c r="K122" s="120"/>
      <c r="L122" s="120"/>
    </row>
    <row r="123" spans="1:12" x14ac:dyDescent="0.2">
      <c r="C123" s="120"/>
      <c r="D123" s="122"/>
      <c r="E123" s="123"/>
      <c r="F123" s="123"/>
      <c r="G123" s="123"/>
      <c r="H123" s="123"/>
      <c r="I123" s="124"/>
      <c r="J123" s="120"/>
      <c r="K123" s="120"/>
      <c r="L123" s="120"/>
    </row>
    <row r="124" spans="1:12" x14ac:dyDescent="0.2">
      <c r="C124" s="120"/>
      <c r="D124" s="122"/>
      <c r="E124" s="123"/>
      <c r="F124" s="123"/>
      <c r="G124" s="123"/>
      <c r="H124" s="123"/>
      <c r="I124" s="124"/>
      <c r="J124" s="120"/>
      <c r="K124" s="120"/>
      <c r="L124" s="120"/>
    </row>
    <row r="125" spans="1:12" x14ac:dyDescent="0.2">
      <c r="C125" s="120"/>
      <c r="D125" s="122"/>
      <c r="E125" s="123"/>
      <c r="F125" s="123"/>
      <c r="G125" s="123"/>
      <c r="H125" s="123"/>
      <c r="I125" s="124"/>
      <c r="J125" s="120"/>
      <c r="K125" s="120"/>
      <c r="L125" s="120"/>
    </row>
    <row r="126" spans="1:12" x14ac:dyDescent="0.2">
      <c r="C126" s="120"/>
      <c r="D126" s="122"/>
      <c r="E126" s="123"/>
      <c r="F126" s="123"/>
      <c r="G126" s="123"/>
      <c r="H126" s="123"/>
      <c r="I126" s="124"/>
      <c r="J126" s="120"/>
      <c r="K126" s="120"/>
      <c r="L126" s="120"/>
    </row>
    <row r="127" spans="1:12" x14ac:dyDescent="0.2">
      <c r="C127" s="120"/>
      <c r="D127" s="122"/>
      <c r="E127" s="123"/>
      <c r="F127" s="123"/>
      <c r="G127" s="123"/>
      <c r="H127" s="123"/>
      <c r="I127" s="124"/>
    </row>
    <row r="128" spans="1:12" x14ac:dyDescent="0.2">
      <c r="C128" s="120"/>
      <c r="D128" s="122"/>
      <c r="E128" s="123"/>
      <c r="F128" s="123"/>
      <c r="G128" s="123"/>
      <c r="H128" s="123"/>
      <c r="I128" s="124"/>
    </row>
    <row r="129" spans="3:9" x14ac:dyDescent="0.2">
      <c r="C129" s="120"/>
      <c r="D129" s="122"/>
      <c r="E129" s="123"/>
      <c r="F129" s="123"/>
      <c r="G129" s="123"/>
      <c r="H129" s="123"/>
      <c r="I129" s="124"/>
    </row>
    <row r="130" spans="3:9" x14ac:dyDescent="0.2">
      <c r="C130" s="120"/>
      <c r="D130" s="122"/>
      <c r="E130" s="123"/>
      <c r="F130" s="123"/>
      <c r="G130" s="123"/>
      <c r="H130" s="123"/>
      <c r="I130" s="124"/>
    </row>
    <row r="131" spans="3:9" x14ac:dyDescent="0.2">
      <c r="C131" s="120"/>
      <c r="D131" s="122"/>
      <c r="E131" s="123"/>
      <c r="F131" s="123"/>
      <c r="G131" s="123"/>
      <c r="H131" s="123"/>
      <c r="I131" s="124"/>
    </row>
    <row r="132" spans="3:9" x14ac:dyDescent="0.2">
      <c r="C132" s="120"/>
      <c r="D132" s="122"/>
      <c r="E132" s="123"/>
      <c r="F132" s="123"/>
      <c r="G132" s="123"/>
      <c r="H132" s="123"/>
      <c r="I132" s="124"/>
    </row>
    <row r="133" spans="3:9" x14ac:dyDescent="0.2">
      <c r="C133" s="120"/>
      <c r="D133" s="122"/>
      <c r="E133" s="123"/>
      <c r="F133" s="123"/>
      <c r="G133" s="123"/>
      <c r="H133" s="123"/>
      <c r="I133" s="124"/>
    </row>
    <row r="134" spans="3:9" x14ac:dyDescent="0.2">
      <c r="C134" s="120"/>
      <c r="D134" s="122"/>
      <c r="E134" s="123"/>
      <c r="F134" s="123"/>
      <c r="G134" s="123"/>
      <c r="H134" s="123"/>
      <c r="I134" s="124"/>
    </row>
    <row r="135" spans="3:9" x14ac:dyDescent="0.2">
      <c r="C135" s="120"/>
      <c r="D135" s="122"/>
      <c r="E135" s="123"/>
      <c r="F135" s="123"/>
      <c r="G135" s="123"/>
      <c r="H135" s="123"/>
      <c r="I135" s="124"/>
    </row>
    <row r="136" spans="3:9" x14ac:dyDescent="0.2">
      <c r="C136" s="120"/>
      <c r="D136" s="122"/>
      <c r="E136" s="123"/>
      <c r="F136" s="123"/>
      <c r="G136" s="123"/>
      <c r="H136" s="123"/>
      <c r="I136" s="124"/>
    </row>
    <row r="137" spans="3:9" x14ac:dyDescent="0.2">
      <c r="C137" s="120"/>
      <c r="D137" s="122"/>
      <c r="E137" s="123"/>
      <c r="F137" s="123"/>
      <c r="G137" s="123"/>
      <c r="H137" s="123"/>
      <c r="I137" s="124"/>
    </row>
    <row r="138" spans="3:9" x14ac:dyDescent="0.2">
      <c r="C138" s="120"/>
      <c r="D138" s="122"/>
      <c r="E138" s="123"/>
      <c r="F138" s="123"/>
      <c r="G138" s="123"/>
      <c r="H138" s="123"/>
      <c r="I138" s="124"/>
    </row>
    <row r="139" spans="3:9" x14ac:dyDescent="0.2">
      <c r="C139" s="120"/>
      <c r="D139" s="122"/>
      <c r="E139" s="123"/>
      <c r="F139" s="123"/>
      <c r="G139" s="123"/>
      <c r="H139" s="123"/>
      <c r="I139" s="124"/>
    </row>
  </sheetData>
  <pageMargins left="0.25" right="0.25" top="0.75" bottom="0.75" header="0.3" footer="0.3"/>
  <pageSetup paperSize="9" scale="88" orientation="landscape" r:id="rId1"/>
  <headerFooter>
    <oddHeader>&amp;L&amp;"Tahoma,Regular"&amp;12&amp;K0000FFInternal&amp;C&amp;"Tahoma,Regular"&amp;12&amp;K00C000Public&amp;R&amp;"Tahoma,Regular"&amp;12&amp;K00C000Public</oddHeader>
    <oddFooter>&amp;L&amp;"Tahoma,Regular"&amp;10&amp;K000000This message is marked &amp;K0000FFInternal&amp;K000000. Do not distribute to third parties without manager approval.</oddFooter>
    <evenHeader>&amp;L&amp;"Tahoma,Regular"&amp;12&amp;K0000FFInternal&amp;C&amp;"Tahoma,Regular"&amp;12&amp;K00C000Public&amp;R&amp;"Tahoma,Regular"&amp;12&amp;K00C000Public</evenHeader>
    <evenFooter>&amp;L&amp;"Tahoma,Regular"&amp;10&amp;K000000This message is marked &amp;K0000FFInternal&amp;K000000. Do not distribute to third parties without manager approval.</evenFooter>
    <firstHeader>&amp;L&amp;"Tahoma,Regular"&amp;12&amp;K0000FFInternal&amp;C&amp;"Tahoma,Regular"&amp;12&amp;K00C000Public&amp;R&amp;"Tahoma,Regular"&amp;12&amp;K00C000Public</firstHeader>
    <firstFooter>&amp;L&amp;"Tahoma,Regular"&amp;10&amp;K000000This message is marked &amp;K0000FFInternal&amp;K000000. Do not distribute to third parties without manager approval.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2A3B-092F-41FC-8EE6-C18972DDE419}">
  <sheetPr>
    <pageSetUpPr autoPageBreaks="0"/>
  </sheetPr>
  <dimension ref="A1:R25"/>
  <sheetViews>
    <sheetView zoomScale="90" zoomScaleNormal="90" workbookViewId="0">
      <selection activeCell="L35" sqref="L35"/>
    </sheetView>
  </sheetViews>
  <sheetFormatPr defaultRowHeight="10.199999999999999" x14ac:dyDescent="0.2"/>
  <cols>
    <col min="1" max="1" width="2.33203125" style="31" bestFit="1" customWidth="1"/>
    <col min="2" max="2" width="16.5546875" style="31" bestFit="1" customWidth="1"/>
    <col min="3" max="3" width="16" style="31" bestFit="1" customWidth="1"/>
    <col min="4" max="4" width="19.77734375" style="31" bestFit="1" customWidth="1"/>
    <col min="5" max="5" width="4.109375" style="31" bestFit="1" customWidth="1"/>
    <col min="6" max="6" width="19.109375" style="31" bestFit="1" customWidth="1"/>
    <col min="7" max="7" width="8.44140625" style="31" bestFit="1" customWidth="1"/>
    <col min="8" max="8" width="7.109375" style="31" bestFit="1" customWidth="1"/>
    <col min="9" max="9" width="10.109375" style="31" bestFit="1" customWidth="1"/>
    <col min="10" max="10" width="5.109375" style="31" bestFit="1" customWidth="1"/>
    <col min="11" max="11" width="7.109375" style="31" bestFit="1" customWidth="1"/>
    <col min="12" max="12" width="5.6640625" style="31" bestFit="1" customWidth="1"/>
    <col min="13" max="14" width="7.109375" style="31" bestFit="1" customWidth="1"/>
    <col min="15" max="15" width="5.77734375" style="31" bestFit="1" customWidth="1"/>
    <col min="16" max="16" width="17.109375" style="31" customWidth="1"/>
    <col min="17" max="16384" width="8.88671875" style="31"/>
  </cols>
  <sheetData>
    <row r="1" spans="1:18" ht="10.8" thickBot="1" x14ac:dyDescent="0.25">
      <c r="A1" s="171"/>
      <c r="B1" s="171"/>
      <c r="E1" s="173"/>
      <c r="H1" s="172"/>
      <c r="I1" s="172"/>
      <c r="J1" s="172"/>
      <c r="K1" s="172"/>
      <c r="P1" s="174"/>
      <c r="Q1" s="172"/>
      <c r="R1" s="172"/>
    </row>
    <row r="2" spans="1:18" ht="10.8" thickBot="1" x14ac:dyDescent="0.25">
      <c r="A2" s="171"/>
      <c r="B2" s="171"/>
      <c r="E2" s="173"/>
      <c r="F2" s="182">
        <v>45951</v>
      </c>
      <c r="H2" s="172"/>
      <c r="I2" s="172"/>
      <c r="J2" s="172"/>
      <c r="K2" s="172"/>
      <c r="Q2" s="172"/>
      <c r="R2" s="172"/>
    </row>
    <row r="3" spans="1:18" x14ac:dyDescent="0.2">
      <c r="A3" s="183"/>
      <c r="B3" s="183"/>
      <c r="C3" s="184"/>
      <c r="D3" s="184"/>
      <c r="E3" s="185"/>
      <c r="F3" s="184"/>
      <c r="G3" s="186" t="s">
        <v>103</v>
      </c>
      <c r="H3" s="186"/>
      <c r="I3" s="186"/>
      <c r="J3" s="240" t="s">
        <v>104</v>
      </c>
      <c r="K3" s="240"/>
      <c r="L3" s="240"/>
      <c r="M3" s="241" t="s">
        <v>16</v>
      </c>
      <c r="N3" s="241"/>
      <c r="O3" s="241"/>
      <c r="P3" s="187"/>
      <c r="Q3" s="172"/>
      <c r="R3" s="172"/>
    </row>
    <row r="4" spans="1:18" s="215" customFormat="1" ht="41.4" thickBot="1" x14ac:dyDescent="0.25">
      <c r="A4" s="188" t="s">
        <v>105</v>
      </c>
      <c r="B4" s="188" t="s">
        <v>31</v>
      </c>
      <c r="C4" s="189" t="s">
        <v>106</v>
      </c>
      <c r="D4" s="189" t="s">
        <v>107</v>
      </c>
      <c r="E4" s="190" t="s">
        <v>108</v>
      </c>
      <c r="F4" s="189" t="s">
        <v>17</v>
      </c>
      <c r="G4" s="191" t="s">
        <v>109</v>
      </c>
      <c r="H4" s="191" t="s">
        <v>110</v>
      </c>
      <c r="I4" s="191" t="s">
        <v>111</v>
      </c>
      <c r="J4" s="192" t="s">
        <v>112</v>
      </c>
      <c r="K4" s="192" t="s">
        <v>110</v>
      </c>
      <c r="L4" s="192" t="s">
        <v>111</v>
      </c>
      <c r="M4" s="189" t="s">
        <v>113</v>
      </c>
      <c r="N4" s="189" t="s">
        <v>110</v>
      </c>
      <c r="O4" s="189" t="s">
        <v>114</v>
      </c>
      <c r="P4" s="193" t="s">
        <v>115</v>
      </c>
      <c r="Q4" s="172"/>
      <c r="R4" s="172"/>
    </row>
    <row r="5" spans="1:18" ht="10.8" thickBot="1" x14ac:dyDescent="0.25">
      <c r="A5" s="252">
        <v>1</v>
      </c>
      <c r="B5" s="255" t="s">
        <v>40</v>
      </c>
      <c r="C5" s="255" t="s">
        <v>131</v>
      </c>
      <c r="D5" s="253"/>
      <c r="E5" s="216"/>
      <c r="F5" s="217" t="s">
        <v>132</v>
      </c>
      <c r="G5" s="218">
        <v>38</v>
      </c>
      <c r="H5" s="218">
        <v>35</v>
      </c>
      <c r="I5" s="218">
        <v>54.833333333333321</v>
      </c>
      <c r="J5" s="218">
        <v>171</v>
      </c>
      <c r="K5" s="218">
        <v>164</v>
      </c>
      <c r="L5" s="218">
        <v>61.350000000000016</v>
      </c>
      <c r="M5" s="218">
        <v>209</v>
      </c>
      <c r="N5" s="218">
        <v>196</v>
      </c>
      <c r="O5" s="218">
        <v>116.18333333333327</v>
      </c>
      <c r="P5" s="219">
        <v>1.9363888888888878</v>
      </c>
      <c r="Q5" s="172"/>
      <c r="R5" s="172"/>
    </row>
    <row r="6" spans="1:18" ht="10.8" thickBot="1" x14ac:dyDescent="0.25">
      <c r="A6" s="252">
        <v>2</v>
      </c>
      <c r="B6" s="255" t="s">
        <v>40</v>
      </c>
      <c r="C6" s="255" t="s">
        <v>116</v>
      </c>
      <c r="D6" s="253">
        <v>90</v>
      </c>
      <c r="E6" s="216">
        <v>0.84444444444444444</v>
      </c>
      <c r="F6" s="217" t="s">
        <v>96</v>
      </c>
      <c r="G6" s="218">
        <v>76</v>
      </c>
      <c r="H6" s="218">
        <v>74</v>
      </c>
      <c r="I6" s="218">
        <v>107.08333333333336</v>
      </c>
      <c r="J6" s="218">
        <v>176</v>
      </c>
      <c r="K6" s="218">
        <v>175</v>
      </c>
      <c r="L6" s="218">
        <v>107.64999999999999</v>
      </c>
      <c r="M6" s="218">
        <v>252</v>
      </c>
      <c r="N6" s="218">
        <v>246</v>
      </c>
      <c r="O6" s="218">
        <v>214.73333333333306</v>
      </c>
      <c r="P6" s="219">
        <v>3.5788888888888843</v>
      </c>
      <c r="Q6" s="172"/>
      <c r="R6" s="172"/>
    </row>
    <row r="7" spans="1:18" x14ac:dyDescent="0.2">
      <c r="A7" s="250">
        <v>3</v>
      </c>
      <c r="B7" s="249" t="s">
        <v>40</v>
      </c>
      <c r="C7" s="249" t="s">
        <v>117</v>
      </c>
      <c r="D7" s="248">
        <v>80</v>
      </c>
      <c r="E7" s="199">
        <v>0.75</v>
      </c>
      <c r="F7" s="200" t="s">
        <v>21</v>
      </c>
      <c r="G7" s="201">
        <v>60</v>
      </c>
      <c r="H7" s="201">
        <v>60</v>
      </c>
      <c r="I7" s="201">
        <v>65.316666666666649</v>
      </c>
      <c r="J7" s="201">
        <v>143</v>
      </c>
      <c r="K7" s="201">
        <v>125</v>
      </c>
      <c r="L7" s="201">
        <v>82.616666666666617</v>
      </c>
      <c r="M7" s="201">
        <v>203</v>
      </c>
      <c r="N7" s="201">
        <v>181</v>
      </c>
      <c r="O7" s="201">
        <v>147.93333333333342</v>
      </c>
      <c r="P7" s="202">
        <v>2.4655555555555568</v>
      </c>
      <c r="Q7" s="172"/>
      <c r="R7" s="172"/>
    </row>
    <row r="8" spans="1:18" x14ac:dyDescent="0.2">
      <c r="A8" s="247">
        <v>4</v>
      </c>
      <c r="B8" s="246" t="s">
        <v>39</v>
      </c>
      <c r="C8" s="246" t="s">
        <v>117</v>
      </c>
      <c r="D8" s="243">
        <v>80</v>
      </c>
      <c r="E8" s="194">
        <v>1</v>
      </c>
      <c r="F8" s="254" t="s">
        <v>70</v>
      </c>
      <c r="G8" s="195">
        <v>80</v>
      </c>
      <c r="H8" s="195">
        <v>75</v>
      </c>
      <c r="I8" s="195">
        <v>84.600000000000023</v>
      </c>
      <c r="J8" s="195">
        <v>200</v>
      </c>
      <c r="K8" s="195">
        <v>177</v>
      </c>
      <c r="L8" s="195">
        <v>58.450000000000081</v>
      </c>
      <c r="M8" s="195">
        <v>280</v>
      </c>
      <c r="N8" s="195">
        <v>244</v>
      </c>
      <c r="O8" s="195">
        <v>143.04999999999993</v>
      </c>
      <c r="P8" s="203">
        <v>2.3841666666666654</v>
      </c>
      <c r="Q8" s="172"/>
      <c r="R8" s="172"/>
    </row>
    <row r="9" spans="1:18" ht="10.8" thickBot="1" x14ac:dyDescent="0.25">
      <c r="A9" s="251">
        <v>5</v>
      </c>
      <c r="B9" s="256" t="s">
        <v>40</v>
      </c>
      <c r="C9" s="256" t="s">
        <v>117</v>
      </c>
      <c r="D9" s="245">
        <v>80</v>
      </c>
      <c r="E9" s="204">
        <v>0.5625</v>
      </c>
      <c r="F9" s="205" t="s">
        <v>23</v>
      </c>
      <c r="G9" s="206">
        <v>45</v>
      </c>
      <c r="H9" s="206">
        <v>44</v>
      </c>
      <c r="I9" s="206">
        <v>49.81666666666667</v>
      </c>
      <c r="J9" s="206">
        <v>125</v>
      </c>
      <c r="K9" s="206">
        <v>125</v>
      </c>
      <c r="L9" s="206">
        <v>59.533333333333331</v>
      </c>
      <c r="M9" s="206">
        <v>170</v>
      </c>
      <c r="N9" s="206">
        <v>169</v>
      </c>
      <c r="O9" s="206">
        <v>109.35000000000005</v>
      </c>
      <c r="P9" s="207">
        <v>1.8225000000000009</v>
      </c>
      <c r="Q9" s="172"/>
      <c r="R9" s="172"/>
    </row>
    <row r="10" spans="1:18" x14ac:dyDescent="0.2">
      <c r="A10" s="250">
        <v>6</v>
      </c>
      <c r="B10" s="249" t="s">
        <v>39</v>
      </c>
      <c r="C10" s="249" t="s">
        <v>118</v>
      </c>
      <c r="D10" s="248">
        <v>70</v>
      </c>
      <c r="E10" s="199">
        <v>0.87142857142857144</v>
      </c>
      <c r="F10" s="200" t="s">
        <v>121</v>
      </c>
      <c r="G10" s="201">
        <v>61</v>
      </c>
      <c r="H10" s="201">
        <v>59</v>
      </c>
      <c r="I10" s="201">
        <v>85.616666666666688</v>
      </c>
      <c r="J10" s="201">
        <v>154</v>
      </c>
      <c r="K10" s="201">
        <v>143</v>
      </c>
      <c r="L10" s="201">
        <v>92.61666666666666</v>
      </c>
      <c r="M10" s="201">
        <v>215</v>
      </c>
      <c r="N10" s="201">
        <v>201</v>
      </c>
      <c r="O10" s="201">
        <v>178.23333333333326</v>
      </c>
      <c r="P10" s="202">
        <v>2.9705555555555545</v>
      </c>
      <c r="Q10" s="172"/>
      <c r="R10" s="172"/>
    </row>
    <row r="11" spans="1:18" x14ac:dyDescent="0.2">
      <c r="A11" s="247">
        <v>7</v>
      </c>
      <c r="B11" s="246" t="s">
        <v>40</v>
      </c>
      <c r="C11" s="246" t="s">
        <v>118</v>
      </c>
      <c r="D11" s="243">
        <v>70</v>
      </c>
      <c r="E11" s="194">
        <v>1.0285714285714285</v>
      </c>
      <c r="F11" s="254" t="s">
        <v>119</v>
      </c>
      <c r="G11" s="195">
        <v>72</v>
      </c>
      <c r="H11" s="195">
        <v>69</v>
      </c>
      <c r="I11" s="195">
        <v>115.98333333333332</v>
      </c>
      <c r="J11" s="195">
        <v>190</v>
      </c>
      <c r="K11" s="195">
        <v>176</v>
      </c>
      <c r="L11" s="195">
        <v>57.43333333333338</v>
      </c>
      <c r="M11" s="195">
        <v>262</v>
      </c>
      <c r="N11" s="195">
        <v>237</v>
      </c>
      <c r="O11" s="195">
        <v>173.41666666666652</v>
      </c>
      <c r="P11" s="203">
        <v>2.8902777777777753</v>
      </c>
      <c r="Q11" s="172"/>
      <c r="R11" s="172"/>
    </row>
    <row r="12" spans="1:18" ht="10.8" thickBot="1" x14ac:dyDescent="0.25">
      <c r="A12" s="251">
        <v>8</v>
      </c>
      <c r="B12" s="256" t="s">
        <v>39</v>
      </c>
      <c r="C12" s="256" t="s">
        <v>118</v>
      </c>
      <c r="D12" s="245">
        <v>70</v>
      </c>
      <c r="E12" s="204">
        <v>0.58571428571428574</v>
      </c>
      <c r="F12" s="205" t="s">
        <v>120</v>
      </c>
      <c r="G12" s="206">
        <v>41</v>
      </c>
      <c r="H12" s="206">
        <v>37</v>
      </c>
      <c r="I12" s="206">
        <v>61.183333333333337</v>
      </c>
      <c r="J12" s="206">
        <v>211</v>
      </c>
      <c r="K12" s="206">
        <v>191</v>
      </c>
      <c r="L12" s="206">
        <v>71.249999999999957</v>
      </c>
      <c r="M12" s="206">
        <v>252</v>
      </c>
      <c r="N12" s="206">
        <v>217</v>
      </c>
      <c r="O12" s="206">
        <v>132.43333333333331</v>
      </c>
      <c r="P12" s="207">
        <v>2.2072222222222218</v>
      </c>
      <c r="Q12" s="172"/>
      <c r="R12" s="172"/>
    </row>
    <row r="13" spans="1:18" x14ac:dyDescent="0.2">
      <c r="A13" s="250">
        <v>9</v>
      </c>
      <c r="B13" s="249" t="s">
        <v>40</v>
      </c>
      <c r="C13" s="249" t="s">
        <v>122</v>
      </c>
      <c r="D13" s="248">
        <v>60</v>
      </c>
      <c r="E13" s="199">
        <v>0.7</v>
      </c>
      <c r="F13" s="200" t="s">
        <v>22</v>
      </c>
      <c r="G13" s="201">
        <v>42</v>
      </c>
      <c r="H13" s="201">
        <v>40</v>
      </c>
      <c r="I13" s="201">
        <v>61.083333333333343</v>
      </c>
      <c r="J13" s="201">
        <v>158</v>
      </c>
      <c r="K13" s="201">
        <v>152</v>
      </c>
      <c r="L13" s="201">
        <v>85.28333333333326</v>
      </c>
      <c r="M13" s="201">
        <v>200</v>
      </c>
      <c r="N13" s="201">
        <v>191</v>
      </c>
      <c r="O13" s="201">
        <v>146.36666666666662</v>
      </c>
      <c r="P13" s="202">
        <v>2.4394444444444434</v>
      </c>
      <c r="Q13" s="172"/>
      <c r="R13" s="172"/>
    </row>
    <row r="14" spans="1:18" x14ac:dyDescent="0.2">
      <c r="A14" s="247">
        <v>10</v>
      </c>
      <c r="B14" s="246" t="s">
        <v>39</v>
      </c>
      <c r="C14" s="246" t="s">
        <v>122</v>
      </c>
      <c r="D14" s="243">
        <v>60</v>
      </c>
      <c r="E14" s="194">
        <v>0.58333333333333337</v>
      </c>
      <c r="F14" s="254" t="s">
        <v>29</v>
      </c>
      <c r="G14" s="195">
        <v>35</v>
      </c>
      <c r="H14" s="195">
        <v>35</v>
      </c>
      <c r="I14" s="195">
        <v>45</v>
      </c>
      <c r="J14" s="195">
        <v>150</v>
      </c>
      <c r="K14" s="195">
        <v>143</v>
      </c>
      <c r="L14" s="195">
        <v>68.90000000000002</v>
      </c>
      <c r="M14" s="195">
        <v>185</v>
      </c>
      <c r="N14" s="195">
        <v>178</v>
      </c>
      <c r="O14" s="195">
        <v>113.89999999999998</v>
      </c>
      <c r="P14" s="203">
        <v>1.898333333333333</v>
      </c>
      <c r="Q14" s="172"/>
      <c r="R14" s="172"/>
    </row>
    <row r="15" spans="1:18" x14ac:dyDescent="0.2">
      <c r="A15" s="247">
        <v>11</v>
      </c>
      <c r="B15" s="246" t="s">
        <v>39</v>
      </c>
      <c r="C15" s="246" t="s">
        <v>122</v>
      </c>
      <c r="D15" s="243">
        <v>60</v>
      </c>
      <c r="E15" s="194">
        <v>0.5</v>
      </c>
      <c r="F15" s="254" t="s">
        <v>63</v>
      </c>
      <c r="G15" s="195">
        <v>30</v>
      </c>
      <c r="H15" s="195">
        <v>27</v>
      </c>
      <c r="I15" s="195">
        <v>41.29999999999999</v>
      </c>
      <c r="J15" s="195">
        <v>192</v>
      </c>
      <c r="K15" s="195">
        <v>180</v>
      </c>
      <c r="L15" s="195">
        <v>62.633333333333361</v>
      </c>
      <c r="M15" s="195">
        <v>222</v>
      </c>
      <c r="N15" s="195">
        <v>206</v>
      </c>
      <c r="O15" s="195">
        <v>103.93333333333328</v>
      </c>
      <c r="P15" s="203">
        <v>1.7322222222222214</v>
      </c>
      <c r="Q15" s="172"/>
      <c r="R15" s="172"/>
    </row>
    <row r="16" spans="1:18" ht="10.8" thickBot="1" x14ac:dyDescent="0.25">
      <c r="A16" s="251">
        <v>12</v>
      </c>
      <c r="B16" s="256" t="s">
        <v>39</v>
      </c>
      <c r="C16" s="256" t="s">
        <v>123</v>
      </c>
      <c r="D16" s="245">
        <v>60</v>
      </c>
      <c r="E16" s="204">
        <v>0.35</v>
      </c>
      <c r="F16" s="205" t="s">
        <v>85</v>
      </c>
      <c r="G16" s="206">
        <v>21</v>
      </c>
      <c r="H16" s="206">
        <v>21</v>
      </c>
      <c r="I16" s="206">
        <v>14.266666666666669</v>
      </c>
      <c r="J16" s="206">
        <v>169</v>
      </c>
      <c r="K16" s="206">
        <v>157</v>
      </c>
      <c r="L16" s="206">
        <v>83.716666666666626</v>
      </c>
      <c r="M16" s="206">
        <v>190</v>
      </c>
      <c r="N16" s="206">
        <v>178</v>
      </c>
      <c r="O16" s="206">
        <v>97.983333333333249</v>
      </c>
      <c r="P16" s="207">
        <v>1.6330555555555542</v>
      </c>
      <c r="Q16" s="172"/>
      <c r="R16" s="172"/>
    </row>
    <row r="17" spans="1:18" x14ac:dyDescent="0.2">
      <c r="A17" s="250">
        <v>13</v>
      </c>
      <c r="B17" s="249" t="s">
        <v>40</v>
      </c>
      <c r="C17" s="249" t="s">
        <v>130</v>
      </c>
      <c r="D17" s="248">
        <v>60</v>
      </c>
      <c r="E17" s="199">
        <v>1</v>
      </c>
      <c r="F17" s="200" t="s">
        <v>19</v>
      </c>
      <c r="G17" s="201">
        <v>60</v>
      </c>
      <c r="H17" s="201">
        <v>56</v>
      </c>
      <c r="I17" s="201">
        <v>89.383333333333354</v>
      </c>
      <c r="J17" s="201">
        <v>182</v>
      </c>
      <c r="K17" s="201">
        <v>179</v>
      </c>
      <c r="L17" s="201">
        <v>107.3333333333333</v>
      </c>
      <c r="M17" s="201">
        <v>242</v>
      </c>
      <c r="N17" s="201">
        <v>225</v>
      </c>
      <c r="O17" s="201">
        <v>196.71666666666658</v>
      </c>
      <c r="P17" s="202">
        <v>3.2786111111111098</v>
      </c>
      <c r="Q17" s="172"/>
      <c r="R17" s="172"/>
    </row>
    <row r="18" spans="1:18" x14ac:dyDescent="0.2">
      <c r="A18" s="247">
        <v>14</v>
      </c>
      <c r="B18" s="246" t="s">
        <v>40</v>
      </c>
      <c r="C18" s="246" t="s">
        <v>124</v>
      </c>
      <c r="D18" s="243">
        <v>60</v>
      </c>
      <c r="E18" s="194">
        <v>0.85</v>
      </c>
      <c r="F18" s="254" t="s">
        <v>133</v>
      </c>
      <c r="G18" s="195">
        <v>51</v>
      </c>
      <c r="H18" s="195">
        <v>49</v>
      </c>
      <c r="I18" s="195">
        <v>52.86666666666666</v>
      </c>
      <c r="J18" s="195">
        <v>198</v>
      </c>
      <c r="K18" s="195">
        <v>186</v>
      </c>
      <c r="L18" s="195">
        <v>97.416666666666629</v>
      </c>
      <c r="M18" s="195">
        <v>249</v>
      </c>
      <c r="N18" s="195">
        <v>230</v>
      </c>
      <c r="O18" s="195">
        <v>150.28333333333325</v>
      </c>
      <c r="P18" s="203">
        <v>2.5047222222222207</v>
      </c>
      <c r="Q18" s="172"/>
      <c r="R18" s="172"/>
    </row>
    <row r="19" spans="1:18" x14ac:dyDescent="0.2">
      <c r="A19" s="247">
        <v>15</v>
      </c>
      <c r="B19" s="246" t="s">
        <v>40</v>
      </c>
      <c r="C19" s="246" t="s">
        <v>124</v>
      </c>
      <c r="D19" s="243">
        <v>60</v>
      </c>
      <c r="E19" s="194">
        <v>0.76666666666666672</v>
      </c>
      <c r="F19" s="254" t="s">
        <v>125</v>
      </c>
      <c r="G19" s="195">
        <v>46</v>
      </c>
      <c r="H19" s="195">
        <v>44</v>
      </c>
      <c r="I19" s="195">
        <v>46.516666666666666</v>
      </c>
      <c r="J19" s="195">
        <v>169</v>
      </c>
      <c r="K19" s="195">
        <v>167</v>
      </c>
      <c r="L19" s="195">
        <v>90.716666666666583</v>
      </c>
      <c r="M19" s="195">
        <v>215</v>
      </c>
      <c r="N19" s="195">
        <v>211</v>
      </c>
      <c r="O19" s="195">
        <v>137.23333333333323</v>
      </c>
      <c r="P19" s="203">
        <v>2.2872222222222205</v>
      </c>
      <c r="Q19" s="172"/>
      <c r="R19" s="172"/>
    </row>
    <row r="20" spans="1:18" x14ac:dyDescent="0.2">
      <c r="A20" s="247">
        <v>16</v>
      </c>
      <c r="B20" s="246" t="s">
        <v>39</v>
      </c>
      <c r="C20" s="246" t="s">
        <v>124</v>
      </c>
      <c r="D20" s="243">
        <v>60</v>
      </c>
      <c r="E20" s="194">
        <v>0.41666666666666669</v>
      </c>
      <c r="F20" s="254" t="s">
        <v>30</v>
      </c>
      <c r="G20" s="195">
        <v>25</v>
      </c>
      <c r="H20" s="195">
        <v>25</v>
      </c>
      <c r="I20" s="195">
        <v>25.016666666666673</v>
      </c>
      <c r="J20" s="195">
        <v>200</v>
      </c>
      <c r="K20" s="195">
        <v>186</v>
      </c>
      <c r="L20" s="195">
        <v>92.266666666666609</v>
      </c>
      <c r="M20" s="195">
        <v>225</v>
      </c>
      <c r="N20" s="195">
        <v>210</v>
      </c>
      <c r="O20" s="195">
        <v>117.28333333333325</v>
      </c>
      <c r="P20" s="203">
        <v>1.9547222222222207</v>
      </c>
      <c r="Q20" s="172"/>
      <c r="R20" s="172"/>
    </row>
    <row r="21" spans="1:18" x14ac:dyDescent="0.2">
      <c r="A21" s="247">
        <v>17</v>
      </c>
      <c r="B21" s="246" t="s">
        <v>40</v>
      </c>
      <c r="C21" s="246" t="s">
        <v>124</v>
      </c>
      <c r="D21" s="243">
        <v>60</v>
      </c>
      <c r="E21" s="194">
        <v>0.35</v>
      </c>
      <c r="F21" s="254" t="s">
        <v>126</v>
      </c>
      <c r="G21" s="195">
        <v>21</v>
      </c>
      <c r="H21" s="195">
        <v>20</v>
      </c>
      <c r="I21" s="195">
        <v>20.05</v>
      </c>
      <c r="J21" s="195">
        <v>220</v>
      </c>
      <c r="K21" s="195">
        <v>194</v>
      </c>
      <c r="L21" s="195">
        <v>60.666666666666615</v>
      </c>
      <c r="M21" s="195">
        <v>241</v>
      </c>
      <c r="N21" s="195">
        <v>214</v>
      </c>
      <c r="O21" s="195">
        <v>80.71666666666664</v>
      </c>
      <c r="P21" s="203">
        <v>1.3452777777777774</v>
      </c>
      <c r="Q21" s="172"/>
      <c r="R21" s="172"/>
    </row>
    <row r="22" spans="1:18" ht="10.8" thickBot="1" x14ac:dyDescent="0.25">
      <c r="A22" s="251">
        <v>18</v>
      </c>
      <c r="B22" s="256" t="s">
        <v>40</v>
      </c>
      <c r="C22" s="256" t="s">
        <v>124</v>
      </c>
      <c r="D22" s="245">
        <v>60</v>
      </c>
      <c r="E22" s="204">
        <v>0.8</v>
      </c>
      <c r="F22" s="205" t="s">
        <v>128</v>
      </c>
      <c r="G22" s="206">
        <v>48</v>
      </c>
      <c r="H22" s="206">
        <v>45</v>
      </c>
      <c r="I22" s="206">
        <v>36.866666666666681</v>
      </c>
      <c r="J22" s="206">
        <v>209</v>
      </c>
      <c r="K22" s="206">
        <v>186</v>
      </c>
      <c r="L22" s="206">
        <v>65.866666666666646</v>
      </c>
      <c r="M22" s="206">
        <v>257</v>
      </c>
      <c r="N22" s="206">
        <v>226</v>
      </c>
      <c r="O22" s="206">
        <v>102.73333333333329</v>
      </c>
      <c r="P22" s="207">
        <v>1.7122222222222214</v>
      </c>
      <c r="Q22" s="172"/>
      <c r="R22" s="172"/>
    </row>
    <row r="23" spans="1:18" x14ac:dyDescent="0.2">
      <c r="A23" s="244"/>
      <c r="B23" s="244"/>
      <c r="C23" s="242"/>
      <c r="D23" s="242"/>
      <c r="E23" s="196"/>
      <c r="F23" s="242"/>
      <c r="G23" s="197">
        <v>852</v>
      </c>
      <c r="H23" s="197">
        <v>815</v>
      </c>
      <c r="I23" s="197">
        <v>1056.7833333333333</v>
      </c>
      <c r="J23" s="197">
        <v>3217</v>
      </c>
      <c r="K23" s="197">
        <v>3006</v>
      </c>
      <c r="L23" s="197">
        <v>1405.6999999999994</v>
      </c>
      <c r="M23" s="197">
        <v>4069</v>
      </c>
      <c r="N23" s="197">
        <v>3760</v>
      </c>
      <c r="O23" s="197">
        <v>2462.4833333333322</v>
      </c>
      <c r="P23" s="198"/>
      <c r="Q23" s="172"/>
      <c r="R23" s="172"/>
    </row>
    <row r="24" spans="1:18" x14ac:dyDescent="0.2">
      <c r="A24" s="172"/>
      <c r="B24" s="172"/>
      <c r="C24" s="172"/>
      <c r="D24" s="172"/>
      <c r="E24" s="172"/>
      <c r="F24" s="172"/>
      <c r="G24" s="172"/>
      <c r="H24" s="181"/>
      <c r="I24" s="181"/>
      <c r="J24" s="181"/>
      <c r="K24" s="181"/>
      <c r="L24" s="172"/>
      <c r="M24" s="172"/>
      <c r="N24" s="172"/>
      <c r="O24" s="172"/>
      <c r="P24" s="172"/>
      <c r="Q24" s="172"/>
      <c r="R24" s="172"/>
    </row>
    <row r="25" spans="1:18" x14ac:dyDescent="0.2">
      <c r="A25" s="172"/>
      <c r="B25" s="172"/>
      <c r="C25" s="172"/>
      <c r="D25" s="172"/>
      <c r="E25" s="172"/>
      <c r="F25" s="172"/>
      <c r="G25" s="172"/>
      <c r="H25" s="181"/>
      <c r="I25" s="181"/>
      <c r="J25" s="181"/>
      <c r="K25" s="181"/>
      <c r="L25" s="172"/>
      <c r="M25" s="172"/>
      <c r="N25" s="172"/>
      <c r="O25" s="172"/>
      <c r="P25" s="172"/>
      <c r="Q25" s="172"/>
      <c r="R25" s="172"/>
    </row>
  </sheetData>
  <mergeCells count="2">
    <mergeCell ref="J3:L3"/>
    <mergeCell ref="M3:O3"/>
  </mergeCells>
  <pageMargins left="0.7" right="0.7" top="0.75" bottom="0.75" header="0.3" footer="0.3"/>
  <pageSetup paperSize="9" orientation="portrait" r:id="rId1"/>
  <headerFooter>
    <oddHeader>&amp;L&amp;"Tahoma,Regular"&amp;12&amp;K00C000Public</oddHeader>
    <evenHeader>&amp;L&amp;"Tahoma,Regular"&amp;12&amp;K00C000Public</evenHeader>
    <firstHeader>&amp;L&amp;"Tahoma,Regular"&amp;12&amp;K00C000Public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65ad6c44-877d-4605-b4fa-a0dc2deffa9f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A98BE8AF-1E18-46FF-84B8-8762133CB63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Legal and Salary pullout</vt:lpstr>
      <vt:lpstr>Agent performance</vt:lpstr>
      <vt:lpstr>Call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Sayed Ahmed</dc:creator>
  <cp:lastModifiedBy>Mahmoud Sayed Ahmed</cp:lastModifiedBy>
  <cp:lastPrinted>2024-12-25T12:42:21Z</cp:lastPrinted>
  <dcterms:created xsi:type="dcterms:W3CDTF">2024-12-03T12:17:32Z</dcterms:created>
  <dcterms:modified xsi:type="dcterms:W3CDTF">2025-10-23T10:53:14Z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0698cbec-8f80-495f-ad12-c12504a37269</vt:lpwstr>
  </property>
  <property fmtid="{D5CDD505-2E9C-101B-9397-08002B2CF9AE}" pid="3" name="bjSaver">
    <vt:lpwstr>0cpwtr55+5BCTXpc4dr8E1690UY/LZd7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policy="65ad6c44-877d-4605-b4fa-a0dc2deffa9f"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  <property fmtid="{D5CDD505-2E9C-101B-9397-08002B2CF9AE}" pid="8" name="bjLeftHeaderLabel-first">
    <vt:lpwstr>&amp;"Tahoma,Regular"&amp;12&amp;K00C000Public</vt:lpwstr>
  </property>
  <property fmtid="{D5CDD505-2E9C-101B-9397-08002B2CF9AE}" pid="9" name="bjLeftHeaderLabel-even">
    <vt:lpwstr>&amp;"Tahoma,Regular"&amp;12&amp;K00C000Public</vt:lpwstr>
  </property>
  <property fmtid="{D5CDD505-2E9C-101B-9397-08002B2CF9AE}" pid="10" name="bjLeftHeaderLabel">
    <vt:lpwstr>&amp;"Tahoma,Regular"&amp;12&amp;K00C000Public</vt:lpwstr>
  </property>
  <property fmtid="{D5CDD505-2E9C-101B-9397-08002B2CF9AE}" pid="11" name="bjRightHeaderLabel-first">
    <vt:lpwstr>&amp;"Tahoma,Regular"&amp;12&amp;K00C000Public</vt:lpwstr>
  </property>
  <property fmtid="{D5CDD505-2E9C-101B-9397-08002B2CF9AE}" pid="12" name="bjRightHeaderLabel-even">
    <vt:lpwstr>&amp;"Tahoma,Regular"&amp;12&amp;K00C000Public</vt:lpwstr>
  </property>
  <property fmtid="{D5CDD505-2E9C-101B-9397-08002B2CF9AE}" pid="13" name="bjRightHeaderLabel">
    <vt:lpwstr>&amp;"Tahoma,Regular"&amp;12&amp;K00C000Public</vt:lpwstr>
  </property>
</Properties>
</file>