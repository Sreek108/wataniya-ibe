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uarafinancecom-my.sharepoint.com/personal/n_muhammed_quarafinance_com/Documents/Desktop/Nasif/LCDPD/2026/04 Apr/1st April/"/>
    </mc:Choice>
  </mc:AlternateContent>
  <xr:revisionPtr revIDLastSave="0" documentId="8_{9D0E410D-30F6-4778-BE33-FB430A161C45}" xr6:coauthVersionLast="47" xr6:coauthVersionMax="47" xr10:uidLastSave="{00000000-0000-0000-0000-000000000000}"/>
  <bookViews>
    <workbookView xWindow="-108" yWindow="-108" windowWidth="23256" windowHeight="12456" xr2:uid="{896C0298-4BEB-4224-83DE-318DA8975FEA}"/>
  </bookViews>
  <sheets>
    <sheet name="Summary" sheetId="1" r:id="rId1"/>
    <sheet name="Write of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55" i="2" l="1"/>
  <c r="Q55" i="2"/>
  <c r="P55" i="2"/>
  <c r="P61" i="2" s="1"/>
  <c r="O55" i="2"/>
  <c r="N55" i="2"/>
  <c r="M55" i="2"/>
  <c r="L55" i="2"/>
  <c r="K55" i="2"/>
  <c r="J55" i="2"/>
  <c r="I55" i="2"/>
  <c r="I61" i="2" s="1"/>
  <c r="H55" i="2"/>
  <c r="G55" i="2"/>
  <c r="F55" i="2"/>
  <c r="E55" i="2"/>
  <c r="D55" i="2"/>
  <c r="C55" i="2"/>
  <c r="C46" i="2"/>
  <c r="C45" i="2"/>
  <c r="C44" i="2"/>
  <c r="C41" i="2"/>
  <c r="C40" i="2"/>
  <c r="C39" i="2"/>
  <c r="C36" i="2"/>
  <c r="C35" i="2"/>
  <c r="C34" i="2"/>
  <c r="C31" i="2"/>
  <c r="C30" i="2"/>
  <c r="C29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M18" i="2"/>
  <c r="S17" i="2"/>
  <c r="S16" i="2"/>
  <c r="S15" i="2"/>
  <c r="S14" i="2"/>
  <c r="R18" i="2"/>
  <c r="Q18" i="2"/>
  <c r="P18" i="2"/>
  <c r="O18" i="2"/>
  <c r="N18" i="2"/>
  <c r="L18" i="2"/>
  <c r="K18" i="2"/>
  <c r="J18" i="2"/>
  <c r="I18" i="2"/>
  <c r="H18" i="2"/>
  <c r="G18" i="2"/>
  <c r="F18" i="2"/>
  <c r="E18" i="2"/>
  <c r="D18" i="2"/>
  <c r="S13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P9" i="2"/>
  <c r="D9" i="2"/>
  <c r="Q9" i="2"/>
  <c r="S8" i="2"/>
  <c r="S7" i="2"/>
  <c r="S6" i="2"/>
  <c r="S5" i="2"/>
  <c r="R9" i="2"/>
  <c r="O9" i="2"/>
  <c r="N9" i="2"/>
  <c r="M9" i="2"/>
  <c r="L9" i="2"/>
  <c r="K9" i="2"/>
  <c r="J9" i="2"/>
  <c r="I9" i="2"/>
  <c r="H9" i="2"/>
  <c r="G9" i="2"/>
  <c r="F9" i="2"/>
  <c r="E9" i="2"/>
  <c r="C9" i="2"/>
  <c r="Z78" i="1"/>
  <c r="G80" i="1"/>
  <c r="D80" i="1"/>
  <c r="H78" i="1"/>
  <c r="Z77" i="1"/>
  <c r="R77" i="1"/>
  <c r="H77" i="1"/>
  <c r="J77" i="1" s="1"/>
  <c r="Z76" i="1"/>
  <c r="R76" i="1"/>
  <c r="H76" i="1"/>
  <c r="J76" i="1" s="1"/>
  <c r="Z75" i="1"/>
  <c r="R75" i="1"/>
  <c r="H75" i="1"/>
  <c r="J75" i="1" s="1"/>
  <c r="Z74" i="1"/>
  <c r="Y79" i="1"/>
  <c r="X79" i="1"/>
  <c r="W79" i="1"/>
  <c r="V79" i="1"/>
  <c r="U79" i="1"/>
  <c r="Q79" i="1"/>
  <c r="P79" i="1"/>
  <c r="O79" i="1"/>
  <c r="O80" i="1" s="1"/>
  <c r="N79" i="1"/>
  <c r="R74" i="1"/>
  <c r="I79" i="1"/>
  <c r="I80" i="1" s="1"/>
  <c r="G79" i="1"/>
  <c r="F79" i="1"/>
  <c r="E79" i="1"/>
  <c r="D79" i="1"/>
  <c r="H74" i="1"/>
  <c r="Z67" i="1"/>
  <c r="R67" i="1"/>
  <c r="H67" i="1"/>
  <c r="J67" i="1" s="1"/>
  <c r="Z66" i="1"/>
  <c r="R66" i="1"/>
  <c r="H66" i="1"/>
  <c r="J66" i="1" s="1"/>
  <c r="Z65" i="1"/>
  <c r="R65" i="1"/>
  <c r="H65" i="1"/>
  <c r="J65" i="1" s="1"/>
  <c r="Z64" i="1"/>
  <c r="R64" i="1"/>
  <c r="H64" i="1"/>
  <c r="J64" i="1" s="1"/>
  <c r="Z63" i="1"/>
  <c r="R63" i="1"/>
  <c r="H63" i="1"/>
  <c r="J63" i="1" s="1"/>
  <c r="Y68" i="1"/>
  <c r="X68" i="1"/>
  <c r="W68" i="1"/>
  <c r="V68" i="1"/>
  <c r="U68" i="1"/>
  <c r="Q68" i="1"/>
  <c r="P68" i="1"/>
  <c r="O68" i="1"/>
  <c r="N68" i="1"/>
  <c r="M68" i="1"/>
  <c r="I68" i="1"/>
  <c r="G68" i="1"/>
  <c r="F68" i="1"/>
  <c r="E68" i="1"/>
  <c r="D68" i="1"/>
  <c r="C68" i="1"/>
  <c r="B59" i="1"/>
  <c r="Z55" i="1"/>
  <c r="R55" i="1"/>
  <c r="H55" i="1"/>
  <c r="J55" i="1" s="1"/>
  <c r="Z54" i="1"/>
  <c r="R54" i="1"/>
  <c r="H54" i="1"/>
  <c r="J54" i="1" s="1"/>
  <c r="Z53" i="1"/>
  <c r="R53" i="1"/>
  <c r="H53" i="1"/>
  <c r="J53" i="1" s="1"/>
  <c r="X56" i="1"/>
  <c r="Z52" i="1"/>
  <c r="R52" i="1"/>
  <c r="H52" i="1"/>
  <c r="J52" i="1" s="1"/>
  <c r="Z51" i="1"/>
  <c r="R51" i="1"/>
  <c r="H51" i="1"/>
  <c r="J51" i="1" s="1"/>
  <c r="Y56" i="1"/>
  <c r="W56" i="1"/>
  <c r="V56" i="1"/>
  <c r="U56" i="1"/>
  <c r="Q56" i="1"/>
  <c r="P56" i="1"/>
  <c r="O56" i="1"/>
  <c r="R50" i="1"/>
  <c r="M56" i="1"/>
  <c r="I56" i="1"/>
  <c r="H50" i="1"/>
  <c r="G56" i="1"/>
  <c r="F56" i="1"/>
  <c r="E56" i="1"/>
  <c r="C56" i="1"/>
  <c r="X45" i="1"/>
  <c r="W45" i="1"/>
  <c r="V45" i="1"/>
  <c r="R43" i="1"/>
  <c r="Q45" i="1"/>
  <c r="H43" i="1"/>
  <c r="J43" i="1" s="1"/>
  <c r="E45" i="1"/>
  <c r="Z42" i="1"/>
  <c r="R42" i="1"/>
  <c r="H42" i="1"/>
  <c r="J42" i="1" s="1"/>
  <c r="Z41" i="1"/>
  <c r="R41" i="1"/>
  <c r="H41" i="1"/>
  <c r="J41" i="1" s="1"/>
  <c r="Z40" i="1"/>
  <c r="R40" i="1"/>
  <c r="H40" i="1"/>
  <c r="J40" i="1" s="1"/>
  <c r="Y44" i="1"/>
  <c r="X44" i="1"/>
  <c r="W44" i="1"/>
  <c r="V44" i="1"/>
  <c r="Z39" i="1"/>
  <c r="Q44" i="1"/>
  <c r="P44" i="1"/>
  <c r="O44" i="1"/>
  <c r="N44" i="1"/>
  <c r="N45" i="1" s="1"/>
  <c r="R39" i="1"/>
  <c r="R44" i="1" s="1"/>
  <c r="R45" i="1" s="1"/>
  <c r="I44" i="1"/>
  <c r="I45" i="1" s="1"/>
  <c r="G44" i="1"/>
  <c r="F44" i="1"/>
  <c r="F45" i="1" s="1"/>
  <c r="E44" i="1"/>
  <c r="D44" i="1"/>
  <c r="H39" i="1"/>
  <c r="X31" i="1"/>
  <c r="Z21" i="1"/>
  <c r="H21" i="1"/>
  <c r="Z20" i="1"/>
  <c r="R20" i="1"/>
  <c r="H20" i="1"/>
  <c r="J20" i="1" s="1"/>
  <c r="Z19" i="1"/>
  <c r="R19" i="1"/>
  <c r="H19" i="1"/>
  <c r="J19" i="1" s="1"/>
  <c r="Z18" i="1"/>
  <c r="R18" i="1"/>
  <c r="H18" i="1"/>
  <c r="J18" i="1" s="1"/>
  <c r="Y22" i="1"/>
  <c r="Y23" i="1" s="1"/>
  <c r="X22" i="1"/>
  <c r="X23" i="1" s="1"/>
  <c r="W22" i="1"/>
  <c r="W23" i="1" s="1"/>
  <c r="V22" i="1"/>
  <c r="V23" i="1" s="1"/>
  <c r="U22" i="1"/>
  <c r="U23" i="1" s="1"/>
  <c r="Q22" i="1"/>
  <c r="P22" i="1"/>
  <c r="O22" i="1"/>
  <c r="N22" i="1"/>
  <c r="R17" i="1"/>
  <c r="I22" i="1"/>
  <c r="G22" i="1"/>
  <c r="F22" i="1"/>
  <c r="F23" i="1" s="1"/>
  <c r="E22" i="1"/>
  <c r="D22" i="1"/>
  <c r="D23" i="1" s="1"/>
  <c r="H17" i="1"/>
  <c r="Y32" i="1"/>
  <c r="X32" i="1"/>
  <c r="V32" i="1"/>
  <c r="U32" i="1"/>
  <c r="Q32" i="1"/>
  <c r="P32" i="1"/>
  <c r="O32" i="1"/>
  <c r="N32" i="1"/>
  <c r="R10" i="1"/>
  <c r="I32" i="1"/>
  <c r="F32" i="1"/>
  <c r="E32" i="1"/>
  <c r="D32" i="1"/>
  <c r="Y31" i="1"/>
  <c r="W31" i="1"/>
  <c r="V31" i="1"/>
  <c r="U31" i="1"/>
  <c r="Q31" i="1"/>
  <c r="P31" i="1"/>
  <c r="O31" i="1"/>
  <c r="N31" i="1"/>
  <c r="M31" i="1"/>
  <c r="R31" i="1" s="1"/>
  <c r="I31" i="1"/>
  <c r="G31" i="1"/>
  <c r="F31" i="1"/>
  <c r="E31" i="1"/>
  <c r="D31" i="1"/>
  <c r="C31" i="1"/>
  <c r="H31" i="1" s="1"/>
  <c r="J31" i="1" s="1"/>
  <c r="Y30" i="1"/>
  <c r="X30" i="1"/>
  <c r="W30" i="1"/>
  <c r="V30" i="1"/>
  <c r="U30" i="1"/>
  <c r="Q30" i="1"/>
  <c r="P30" i="1"/>
  <c r="O30" i="1"/>
  <c r="N30" i="1"/>
  <c r="M30" i="1"/>
  <c r="R30" i="1" s="1"/>
  <c r="I30" i="1"/>
  <c r="G30" i="1"/>
  <c r="F30" i="1"/>
  <c r="E30" i="1"/>
  <c r="D30" i="1"/>
  <c r="H8" i="1"/>
  <c r="J8" i="1" s="1"/>
  <c r="Y29" i="1"/>
  <c r="X29" i="1"/>
  <c r="W29" i="1"/>
  <c r="V29" i="1"/>
  <c r="U29" i="1"/>
  <c r="Q29" i="1"/>
  <c r="P29" i="1"/>
  <c r="O29" i="1"/>
  <c r="N29" i="1"/>
  <c r="M29" i="1"/>
  <c r="R29" i="1" s="1"/>
  <c r="I29" i="1"/>
  <c r="G29" i="1"/>
  <c r="F11" i="1"/>
  <c r="E29" i="1"/>
  <c r="D29" i="1"/>
  <c r="C29" i="1"/>
  <c r="Y28" i="1"/>
  <c r="Y33" i="1" s="1"/>
  <c r="X28" i="1"/>
  <c r="X33" i="1" s="1"/>
  <c r="W11" i="1"/>
  <c r="V28" i="1"/>
  <c r="V33" i="1" s="1"/>
  <c r="U28" i="1"/>
  <c r="Q28" i="1"/>
  <c r="Q33" i="1" s="1"/>
  <c r="P28" i="1"/>
  <c r="P33" i="1" s="1"/>
  <c r="O11" i="1"/>
  <c r="O12" i="1" s="1"/>
  <c r="N11" i="1"/>
  <c r="M11" i="1"/>
  <c r="I28" i="1"/>
  <c r="I33" i="1" s="1"/>
  <c r="G28" i="1"/>
  <c r="F28" i="1"/>
  <c r="E28" i="1"/>
  <c r="E33" i="1" s="1"/>
  <c r="D28" i="1"/>
  <c r="D33" i="1" s="1"/>
  <c r="C11" i="1"/>
  <c r="T4" i="1"/>
  <c r="L4" i="1"/>
  <c r="N80" i="1" l="1"/>
  <c r="N23" i="1"/>
  <c r="O34" i="1"/>
  <c r="O23" i="1"/>
  <c r="G45" i="1"/>
  <c r="P80" i="1"/>
  <c r="P34" i="1"/>
  <c r="P23" i="1"/>
  <c r="Q80" i="1"/>
  <c r="Q34" i="1"/>
  <c r="Q23" i="1"/>
  <c r="U33" i="1"/>
  <c r="U34" i="1" s="1"/>
  <c r="Z29" i="1"/>
  <c r="Z30" i="1"/>
  <c r="Z31" i="1"/>
  <c r="H56" i="1"/>
  <c r="V80" i="1"/>
  <c r="V34" i="1"/>
  <c r="W80" i="1"/>
  <c r="W12" i="1"/>
  <c r="Z23" i="1"/>
  <c r="O45" i="1"/>
  <c r="H79" i="1"/>
  <c r="J74" i="1"/>
  <c r="J79" i="1" s="1"/>
  <c r="Z79" i="1"/>
  <c r="Z80" i="1" s="1"/>
  <c r="X80" i="1"/>
  <c r="X34" i="1"/>
  <c r="P45" i="1"/>
  <c r="R56" i="1"/>
  <c r="Y80" i="1"/>
  <c r="Y34" i="1"/>
  <c r="H80" i="1"/>
  <c r="J78" i="1"/>
  <c r="S9" i="2"/>
  <c r="C12" i="1"/>
  <c r="H22" i="1"/>
  <c r="H23" i="1" s="1"/>
  <c r="J17" i="1"/>
  <c r="J21" i="1"/>
  <c r="D34" i="1"/>
  <c r="H44" i="1"/>
  <c r="J39" i="1"/>
  <c r="J44" i="1" s="1"/>
  <c r="J45" i="1" s="1"/>
  <c r="E80" i="1"/>
  <c r="E34" i="1"/>
  <c r="E23" i="1"/>
  <c r="F80" i="1"/>
  <c r="C48" i="2"/>
  <c r="C49" i="2"/>
  <c r="T49" i="2" s="1"/>
  <c r="C50" i="2"/>
  <c r="T50" i="2" s="1"/>
  <c r="G23" i="1"/>
  <c r="I34" i="1"/>
  <c r="I23" i="1"/>
  <c r="D45" i="1"/>
  <c r="Y45" i="1"/>
  <c r="Z9" i="1"/>
  <c r="P11" i="1"/>
  <c r="P12" i="1" s="1"/>
  <c r="Z17" i="1"/>
  <c r="Z22" i="1" s="1"/>
  <c r="F29" i="1"/>
  <c r="H29" i="1" s="1"/>
  <c r="J29" i="1" s="1"/>
  <c r="U80" i="1"/>
  <c r="S60" i="2"/>
  <c r="C22" i="1"/>
  <c r="C23" i="1" s="1"/>
  <c r="M28" i="1"/>
  <c r="C30" i="1"/>
  <c r="H30" i="1" s="1"/>
  <c r="J30" i="1" s="1"/>
  <c r="M32" i="1"/>
  <c r="M44" i="1"/>
  <c r="M45" i="1" s="1"/>
  <c r="Z62" i="1"/>
  <c r="Z68" i="1" s="1"/>
  <c r="Q11" i="1"/>
  <c r="Q12" i="1" s="1"/>
  <c r="M12" i="1"/>
  <c r="R7" i="1"/>
  <c r="N12" i="1"/>
  <c r="N28" i="1"/>
  <c r="N33" i="1" s="1"/>
  <c r="N34" i="1" s="1"/>
  <c r="H45" i="1"/>
  <c r="N56" i="1"/>
  <c r="C18" i="2"/>
  <c r="S18" i="2" s="1"/>
  <c r="T18" i="2" s="1"/>
  <c r="U11" i="1"/>
  <c r="O28" i="1"/>
  <c r="O33" i="1" s="1"/>
  <c r="H62" i="1"/>
  <c r="H9" i="1"/>
  <c r="J9" i="1" s="1"/>
  <c r="Z6" i="1"/>
  <c r="Z10" i="1"/>
  <c r="V11" i="1"/>
  <c r="V12" i="1" s="1"/>
  <c r="Z50" i="1"/>
  <c r="Z56" i="1" s="1"/>
  <c r="C24" i="2"/>
  <c r="N61" i="2"/>
  <c r="C25" i="2"/>
  <c r="H10" i="1"/>
  <c r="D11" i="1"/>
  <c r="X11" i="1"/>
  <c r="X12" i="1" s="1"/>
  <c r="M79" i="1"/>
  <c r="M80" i="1" s="1"/>
  <c r="S4" i="2"/>
  <c r="C26" i="2"/>
  <c r="H6" i="1"/>
  <c r="E11" i="1"/>
  <c r="E12" i="1" s="1"/>
  <c r="Y11" i="1"/>
  <c r="Y12" i="1" s="1"/>
  <c r="U12" i="1"/>
  <c r="U44" i="1"/>
  <c r="U45" i="1" s="1"/>
  <c r="R78" i="1"/>
  <c r="R79" i="1" s="1"/>
  <c r="Q61" i="2"/>
  <c r="R8" i="1"/>
  <c r="Z7" i="1"/>
  <c r="Z43" i="1"/>
  <c r="J50" i="1"/>
  <c r="J56" i="1" s="1"/>
  <c r="M22" i="1"/>
  <c r="M23" i="1" s="1"/>
  <c r="C28" i="1"/>
  <c r="W28" i="1"/>
  <c r="C32" i="1"/>
  <c r="W32" i="1"/>
  <c r="Z32" i="1" s="1"/>
  <c r="C44" i="1"/>
  <c r="C45" i="1" s="1"/>
  <c r="G11" i="1"/>
  <c r="G12" i="1" s="1"/>
  <c r="R9" i="1"/>
  <c r="D56" i="1"/>
  <c r="D61" i="2"/>
  <c r="H7" i="1"/>
  <c r="J7" i="1" s="1"/>
  <c r="I11" i="1"/>
  <c r="R62" i="1"/>
  <c r="R68" i="1" s="1"/>
  <c r="E61" i="2"/>
  <c r="D12" i="1"/>
  <c r="R21" i="1"/>
  <c r="Z8" i="1"/>
  <c r="F12" i="1"/>
  <c r="G32" i="1"/>
  <c r="R6" i="1"/>
  <c r="C79" i="1"/>
  <c r="C80" i="1" s="1"/>
  <c r="H61" i="2"/>
  <c r="I12" i="1"/>
  <c r="Z11" i="1" l="1"/>
  <c r="J61" i="2"/>
  <c r="J22" i="1"/>
  <c r="F61" i="2"/>
  <c r="S57" i="2"/>
  <c r="F33" i="1"/>
  <c r="F34" i="1" s="1"/>
  <c r="J10" i="1"/>
  <c r="T9" i="2"/>
  <c r="Z44" i="1"/>
  <c r="Z45" i="1" s="1"/>
  <c r="M61" i="2"/>
  <c r="T48" i="2"/>
  <c r="J80" i="1"/>
  <c r="R80" i="1"/>
  <c r="O61" i="2"/>
  <c r="H68" i="1"/>
  <c r="J62" i="1"/>
  <c r="J68" i="1" s="1"/>
  <c r="K61" i="2"/>
  <c r="S58" i="2"/>
  <c r="C61" i="2"/>
  <c r="S56" i="2"/>
  <c r="R32" i="1"/>
  <c r="R11" i="1"/>
  <c r="R12" i="1" s="1"/>
  <c r="L61" i="2"/>
  <c r="H32" i="1"/>
  <c r="H11" i="1"/>
  <c r="H12" i="1" s="1"/>
  <c r="J6" i="1"/>
  <c r="R28" i="1"/>
  <c r="R33" i="1" s="1"/>
  <c r="M33" i="1"/>
  <c r="M34" i="1" s="1"/>
  <c r="W33" i="1"/>
  <c r="W34" i="1" s="1"/>
  <c r="G61" i="2"/>
  <c r="H28" i="1"/>
  <c r="C33" i="1"/>
  <c r="C34" i="1" s="1"/>
  <c r="R23" i="1"/>
  <c r="G34" i="1"/>
  <c r="G33" i="1"/>
  <c r="J23" i="1"/>
  <c r="Z28" i="1"/>
  <c r="Z33" i="1" s="1"/>
  <c r="Z34" i="1" s="1"/>
  <c r="R22" i="1"/>
  <c r="S59" i="2"/>
  <c r="R61" i="2"/>
  <c r="Z12" i="1"/>
  <c r="J11" i="1" l="1"/>
  <c r="J12" i="1" s="1"/>
  <c r="H34" i="1"/>
  <c r="J32" i="1"/>
  <c r="R34" i="1"/>
  <c r="S61" i="2"/>
  <c r="T61" i="2" s="1"/>
  <c r="H33" i="1"/>
  <c r="J28" i="1"/>
  <c r="J33" i="1" s="1"/>
  <c r="J34" i="1" l="1"/>
</calcChain>
</file>

<file path=xl/sharedStrings.xml><?xml version="1.0" encoding="utf-8"?>
<sst xmlns="http://schemas.openxmlformats.org/spreadsheetml/2006/main" count="388" uniqueCount="39">
  <si>
    <t>LCDPD - Total Portfolio</t>
  </si>
  <si>
    <t>Total</t>
  </si>
  <si>
    <t>Normal</t>
  </si>
  <si>
    <t>Non Starter</t>
  </si>
  <si>
    <t>Product</t>
  </si>
  <si>
    <t>1. Jarir</t>
  </si>
  <si>
    <t>2. Premium Partners</t>
  </si>
  <si>
    <t>3. Noon</t>
  </si>
  <si>
    <t>4. Other Partners</t>
  </si>
  <si>
    <t>5. Cash Loan</t>
  </si>
  <si>
    <t xml:space="preserve"> Total Retail  </t>
  </si>
  <si>
    <t>SME</t>
  </si>
  <si>
    <t xml:space="preserve"> Total </t>
  </si>
  <si>
    <t>0 Days</t>
  </si>
  <si>
    <t>1-30 Days</t>
  </si>
  <si>
    <t>31-60 Days</t>
  </si>
  <si>
    <t>61-90 Days</t>
  </si>
  <si>
    <t>NPA</t>
  </si>
  <si>
    <t>Grand Total</t>
  </si>
  <si>
    <t>NPA %</t>
  </si>
  <si>
    <t>Current RAC</t>
  </si>
  <si>
    <t>Closed RAC</t>
  </si>
  <si>
    <t>Total Overdue : Principal Overdue + Profit Overdue</t>
  </si>
  <si>
    <t>Collections MTD</t>
  </si>
  <si>
    <t>TOTAL</t>
  </si>
  <si>
    <t>Write Off</t>
  </si>
  <si>
    <t>Counts</t>
  </si>
  <si>
    <t>NPA Expected write off months</t>
  </si>
  <si>
    <t>Month/Product</t>
  </si>
  <si>
    <t>NPA Expected write off months - Current RAC</t>
  </si>
  <si>
    <t>Number of installment overdue against NPA</t>
  </si>
  <si>
    <t>Product (values)</t>
  </si>
  <si>
    <t>NR NPA in mm</t>
  </si>
  <si>
    <t xml:space="preserve">Overdue Amt in mm </t>
  </si>
  <si>
    <t>Count</t>
  </si>
  <si>
    <t>Retail NPA NR in mm</t>
  </si>
  <si>
    <t xml:space="preserve">Retail Overdue Amt in mm </t>
  </si>
  <si>
    <t>Retail Count</t>
  </si>
  <si>
    <t>Non Starter Expected write off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</si>
</sst>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[=0]&quot;-&quot;;0.0,,"/>
    <numFmt numFmtId="166" formatCode="0.0%"/>
    <numFmt numFmtId="167" formatCode="_(* #,##0_);_(* \(#,##0\);_(* &quot;-&quot;??_);_(@_)"/>
  </numFmts>
  <fonts count="12">
    <font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0"/>
      <color rgb="FF002060"/>
      <name val="Calibri"/>
      <family val="2"/>
    </font>
    <font>
      <sz val="10"/>
      <name val="Times New Roman"/>
      <family val="1"/>
    </font>
    <font>
      <sz val="10"/>
      <color rgb="FF000000"/>
      <name val="Calibri"/>
      <family val="2"/>
    </font>
    <font>
      <sz val="10"/>
      <color rgb="FF002060"/>
      <name val="Calibri"/>
      <family val="2"/>
    </font>
    <font>
      <sz val="10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1" applyAlignment="1">
      <alignment horizontal="center"/>
    </xf>
    <xf numFmtId="164" fontId="0" fillId="0" borderId="0" xfId="2" applyNumberFormat="1" applyFont="1" applyAlignment="1">
      <alignment horizontal="center" wrapText="1"/>
    </xf>
    <xf numFmtId="0" fontId="2" fillId="0" borderId="0" xfId="1" applyAlignment="1">
      <alignment wrapText="1"/>
    </xf>
    <xf numFmtId="0" fontId="2" fillId="0" borderId="0" xfId="1"/>
    <xf numFmtId="0" fontId="4" fillId="0" borderId="0" xfId="1" applyFont="1" applyAlignment="1">
      <alignment horizontal="left"/>
    </xf>
    <xf numFmtId="43" fontId="2" fillId="0" borderId="0" xfId="1" applyNumberFormat="1" applyAlignment="1">
      <alignment wrapText="1"/>
    </xf>
    <xf numFmtId="0" fontId="4" fillId="0" borderId="0" xfId="1" applyFont="1" applyAlignment="1">
      <alignment horizontal="center"/>
    </xf>
    <xf numFmtId="15" fontId="5" fillId="2" borderId="1" xfId="1" applyNumberFormat="1" applyFont="1" applyFill="1" applyBorder="1" applyAlignment="1">
      <alignment horizontal="center" vertical="center"/>
    </xf>
    <xf numFmtId="164" fontId="6" fillId="0" borderId="0" xfId="2" applyNumberFormat="1" applyFont="1" applyAlignment="1">
      <alignment wrapText="1"/>
    </xf>
    <xf numFmtId="43" fontId="7" fillId="0" borderId="0" xfId="2" applyFont="1" applyFill="1" applyBorder="1" applyAlignment="1">
      <alignment horizontal="left" wrapText="1"/>
    </xf>
    <xf numFmtId="0" fontId="5" fillId="0" borderId="1" xfId="1" applyFont="1" applyBorder="1" applyAlignment="1">
      <alignment horizontal="left" vertical="center"/>
    </xf>
    <xf numFmtId="164" fontId="5" fillId="0" borderId="1" xfId="2" applyNumberFormat="1" applyFont="1" applyBorder="1" applyAlignment="1">
      <alignment horizontal="center" vertical="center" wrapText="1"/>
    </xf>
    <xf numFmtId="164" fontId="5" fillId="3" borderId="1" xfId="2" applyNumberFormat="1" applyFont="1" applyFill="1" applyBorder="1" applyAlignment="1">
      <alignment horizontal="center" vertical="center" wrapText="1"/>
    </xf>
    <xf numFmtId="43" fontId="5" fillId="0" borderId="1" xfId="2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left" vertical="center"/>
    </xf>
    <xf numFmtId="165" fontId="9" fillId="0" borderId="1" xfId="2" applyNumberFormat="1" applyFont="1" applyFill="1" applyBorder="1"/>
    <xf numFmtId="165" fontId="5" fillId="3" borderId="1" xfId="2" applyNumberFormat="1" applyFont="1" applyFill="1" applyBorder="1" applyAlignment="1">
      <alignment horizontal="right" vertical="center" wrapText="1"/>
    </xf>
    <xf numFmtId="4" fontId="0" fillId="0" borderId="0" xfId="0" applyNumberFormat="1"/>
    <xf numFmtId="165" fontId="10" fillId="0" borderId="1" xfId="2" applyNumberFormat="1" applyFont="1" applyFill="1" applyBorder="1"/>
    <xf numFmtId="166" fontId="11" fillId="0" borderId="1" xfId="3" applyNumberFormat="1" applyFont="1" applyBorder="1" applyAlignment="1">
      <alignment horizontal="right" wrapText="1"/>
    </xf>
    <xf numFmtId="166" fontId="5" fillId="3" borderId="1" xfId="3" applyNumberFormat="1" applyFont="1" applyFill="1" applyBorder="1" applyAlignment="1">
      <alignment horizontal="right" vertical="center" wrapText="1"/>
    </xf>
    <xf numFmtId="164" fontId="0" fillId="0" borderId="0" xfId="2" applyNumberFormat="1" applyFont="1" applyAlignment="1">
      <alignment horizontal="left" wrapText="1"/>
    </xf>
    <xf numFmtId="3" fontId="9" fillId="0" borderId="1" xfId="2" applyNumberFormat="1" applyFont="1" applyFill="1" applyBorder="1"/>
    <xf numFmtId="3" fontId="5" fillId="3" borderId="1" xfId="2" applyNumberFormat="1" applyFont="1" applyFill="1" applyBorder="1" applyAlignment="1">
      <alignment horizontal="right" vertical="center" wrapText="1"/>
    </xf>
    <xf numFmtId="3" fontId="10" fillId="0" borderId="1" xfId="2" applyNumberFormat="1" applyFont="1" applyFill="1" applyBorder="1"/>
    <xf numFmtId="0" fontId="3" fillId="0" borderId="0" xfId="0" applyFont="1"/>
    <xf numFmtId="0" fontId="3" fillId="0" borderId="0" xfId="1" applyFont="1"/>
    <xf numFmtId="4" fontId="3" fillId="0" borderId="0" xfId="0" applyNumberFormat="1" applyFont="1"/>
    <xf numFmtId="0" fontId="2" fillId="0" borderId="0" xfId="1" applyAlignment="1">
      <alignment horizontal="left"/>
    </xf>
    <xf numFmtId="0" fontId="3" fillId="0" borderId="0" xfId="1" applyFont="1" applyAlignment="1">
      <alignment horizontal="left"/>
    </xf>
    <xf numFmtId="14" fontId="2" fillId="0" borderId="0" xfId="0" applyNumberFormat="1" applyFont="1"/>
    <xf numFmtId="0" fontId="1" fillId="4" borderId="1" xfId="0" applyFont="1" applyFill="1" applyBorder="1"/>
    <xf numFmtId="17" fontId="1" fillId="4" borderId="1" xfId="0" applyNumberFormat="1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0" fontId="1" fillId="0" borderId="1" xfId="0" applyFont="1" applyBorder="1"/>
    <xf numFmtId="165" fontId="0" fillId="0" borderId="0" xfId="0" applyNumberFormat="1"/>
    <xf numFmtId="0" fontId="1" fillId="0" borderId="0" xfId="0" applyFont="1"/>
    <xf numFmtId="0" fontId="0" fillId="0" borderId="1" xfId="0" applyBorder="1"/>
    <xf numFmtId="0" fontId="3" fillId="0" borderId="1" xfId="0" applyFont="1" applyBorder="1"/>
    <xf numFmtId="0" fontId="1" fillId="0" borderId="1" xfId="0" applyFont="1" applyBorder="1" applyAlignment="1">
      <alignment horizontal="left" indent="1"/>
    </xf>
    <xf numFmtId="0" fontId="0" fillId="0" borderId="1" xfId="0" applyBorder="1" applyAlignment="1">
      <alignment horizontal="left" indent="1"/>
    </xf>
    <xf numFmtId="167" fontId="10" fillId="0" borderId="1" xfId="2" applyNumberFormat="1" applyFont="1" applyFill="1" applyBorder="1"/>
    <xf numFmtId="165" fontId="10" fillId="0" borderId="0" xfId="2" applyNumberFormat="1" applyFont="1" applyFill="1" applyBorder="1"/>
  </cellXfs>
  <cellStyles count="4">
    <cellStyle name="Comma 2 2 2" xfId="2" xr:uid="{B9EF6A2C-1569-424F-A10F-153B668E0075}"/>
    <cellStyle name="Normal" xfId="0" builtinId="0"/>
    <cellStyle name="Normal 2" xfId="1" xr:uid="{462C22C5-3477-44AD-880F-0986DD0D08E4}"/>
    <cellStyle name="Percent 2" xfId="3" xr:uid="{2970D854-A274-42CF-81CB-249EC8E8E0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BCAB3-D57B-4A67-9C79-ABD1D6B914F0}">
  <dimension ref="B1:AP92"/>
  <sheetViews>
    <sheetView showGridLines="0" tabSelected="1" workbookViewId="0"/>
  </sheetViews>
  <sheetFormatPr defaultColWidth="9.109375" defaultRowHeight="14.4"/>
  <cols>
    <col min="1" max="1" width="1.88671875" style="4" customWidth="1"/>
    <col min="2" max="2" width="19.109375" style="1" customWidth="1"/>
    <col min="3" max="8" width="10.88671875" style="2" customWidth="1"/>
    <col min="9" max="9" width="10.88671875" style="3" customWidth="1"/>
    <col min="10" max="10" width="10.88671875" style="2" customWidth="1"/>
    <col min="11" max="11" width="1.88671875" customWidth="1"/>
    <col min="12" max="12" width="19.109375" customWidth="1"/>
    <col min="13" max="18" width="10.88671875" customWidth="1"/>
    <col min="19" max="19" width="1.88671875" style="4" customWidth="1"/>
    <col min="20" max="20" width="19.109375" customWidth="1"/>
    <col min="21" max="26" width="10.88671875" customWidth="1"/>
    <col min="27" max="27" width="12.6640625" bestFit="1" customWidth="1"/>
    <col min="28" max="42" width="8.88671875" customWidth="1"/>
    <col min="43" max="16384" width="9.109375" style="4"/>
  </cols>
  <sheetData>
    <row r="1" spans="2:27">
      <c r="C1" s="1"/>
      <c r="H1" s="1"/>
    </row>
    <row r="2" spans="2:27">
      <c r="B2" s="5" t="s">
        <v>0</v>
      </c>
    </row>
    <row r="3" spans="2:27">
      <c r="B3" s="5" t="s">
        <v>1</v>
      </c>
      <c r="I3" s="6"/>
      <c r="L3" s="5" t="s">
        <v>2</v>
      </c>
      <c r="M3" s="2"/>
      <c r="N3" s="2"/>
      <c r="O3" s="2"/>
      <c r="P3" s="2"/>
      <c r="Q3" s="2"/>
      <c r="R3" s="2"/>
      <c r="T3" s="7" t="s">
        <v>3</v>
      </c>
      <c r="U3" s="3"/>
      <c r="V3" s="3"/>
      <c r="W3" s="3"/>
      <c r="X3" s="3"/>
      <c r="Y3" s="3"/>
      <c r="Z3" s="3"/>
    </row>
    <row r="4" spans="2:27">
      <c r="B4" s="8">
        <v>46113</v>
      </c>
      <c r="C4" s="9"/>
      <c r="D4" s="9"/>
      <c r="E4" s="9"/>
      <c r="F4" s="9"/>
      <c r="G4" s="9"/>
      <c r="H4" s="9"/>
      <c r="I4" s="10"/>
      <c r="J4" s="9"/>
      <c r="L4" s="8">
        <f>B4</f>
        <v>46113</v>
      </c>
      <c r="M4" s="9"/>
      <c r="N4" s="9"/>
      <c r="O4" s="9"/>
      <c r="P4" s="9"/>
      <c r="Q4" s="9"/>
      <c r="R4" s="9"/>
      <c r="T4" s="8">
        <f>B4</f>
        <v>46113</v>
      </c>
      <c r="U4" s="9"/>
      <c r="V4" s="9"/>
      <c r="W4" s="9"/>
      <c r="X4" s="9"/>
      <c r="Y4" s="9"/>
      <c r="Z4" s="9"/>
    </row>
    <row r="5" spans="2:27" ht="27.6">
      <c r="B5" s="11" t="s">
        <v>4</v>
      </c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3" t="s">
        <v>10</v>
      </c>
      <c r="I5" s="14" t="s">
        <v>11</v>
      </c>
      <c r="J5" s="13" t="s">
        <v>12</v>
      </c>
      <c r="L5" s="11" t="s">
        <v>4</v>
      </c>
      <c r="M5" s="12" t="s">
        <v>5</v>
      </c>
      <c r="N5" s="12" t="s">
        <v>6</v>
      </c>
      <c r="O5" s="12" t="s">
        <v>7</v>
      </c>
      <c r="P5" s="12" t="s">
        <v>8</v>
      </c>
      <c r="Q5" s="12" t="s">
        <v>9</v>
      </c>
      <c r="R5" s="13" t="s">
        <v>10</v>
      </c>
      <c r="T5" s="11" t="s">
        <v>4</v>
      </c>
      <c r="U5" s="12" t="s">
        <v>5</v>
      </c>
      <c r="V5" s="12" t="s">
        <v>6</v>
      </c>
      <c r="W5" s="12" t="s">
        <v>7</v>
      </c>
      <c r="X5" s="12" t="s">
        <v>8</v>
      </c>
      <c r="Y5" s="12" t="s">
        <v>9</v>
      </c>
      <c r="Z5" s="13" t="s">
        <v>10</v>
      </c>
    </row>
    <row r="6" spans="2:27">
      <c r="B6" s="15" t="s">
        <v>13</v>
      </c>
      <c r="C6" s="16">
        <v>119913594</v>
      </c>
      <c r="D6" s="16">
        <v>83785183</v>
      </c>
      <c r="E6" s="16">
        <v>3769765</v>
      </c>
      <c r="F6" s="16">
        <v>81817856</v>
      </c>
      <c r="G6" s="16">
        <v>185270846</v>
      </c>
      <c r="H6" s="17">
        <f>SUM(C6:G6)</f>
        <v>474557244</v>
      </c>
      <c r="I6" s="16">
        <v>903187</v>
      </c>
      <c r="J6" s="17">
        <f>H6+I6</f>
        <v>475460431</v>
      </c>
      <c r="L6" s="15" t="s">
        <v>13</v>
      </c>
      <c r="M6" s="16">
        <v>119899372</v>
      </c>
      <c r="N6" s="16">
        <v>83772052</v>
      </c>
      <c r="O6" s="16">
        <v>3769765</v>
      </c>
      <c r="P6" s="16">
        <v>81817856</v>
      </c>
      <c r="Q6" s="16">
        <v>185239378</v>
      </c>
      <c r="R6" s="17">
        <f>SUM(M6:Q6)</f>
        <v>474498423</v>
      </c>
      <c r="T6" s="15" t="s">
        <v>13</v>
      </c>
      <c r="U6" s="16">
        <v>14222</v>
      </c>
      <c r="V6" s="16">
        <v>13131</v>
      </c>
      <c r="W6" s="16">
        <v>0</v>
      </c>
      <c r="X6" s="16">
        <v>0</v>
      </c>
      <c r="Y6" s="16">
        <v>31468</v>
      </c>
      <c r="Z6" s="17">
        <f>SUM(U6:Y6)</f>
        <v>58821</v>
      </c>
    </row>
    <row r="7" spans="2:27">
      <c r="B7" s="15" t="s">
        <v>14</v>
      </c>
      <c r="C7" s="16">
        <v>45553277</v>
      </c>
      <c r="D7" s="16">
        <v>39769183</v>
      </c>
      <c r="E7" s="16">
        <v>3020344</v>
      </c>
      <c r="F7" s="16">
        <v>39744551</v>
      </c>
      <c r="G7" s="16">
        <v>77630987</v>
      </c>
      <c r="H7" s="17">
        <f>SUM(C7:G7)</f>
        <v>205718342</v>
      </c>
      <c r="I7" s="16">
        <v>0</v>
      </c>
      <c r="J7" s="17">
        <f>H7+I7</f>
        <v>205718342</v>
      </c>
      <c r="L7" s="15" t="s">
        <v>14</v>
      </c>
      <c r="M7" s="16">
        <v>41920747</v>
      </c>
      <c r="N7" s="16">
        <v>32961570</v>
      </c>
      <c r="O7" s="16">
        <v>173162</v>
      </c>
      <c r="P7" s="16">
        <v>31199856</v>
      </c>
      <c r="Q7" s="16">
        <v>69859836</v>
      </c>
      <c r="R7" s="17">
        <f>SUM(M7:Q7)</f>
        <v>176115171</v>
      </c>
      <c r="T7" s="15" t="s">
        <v>14</v>
      </c>
      <c r="U7" s="16">
        <v>3632530</v>
      </c>
      <c r="V7" s="16">
        <v>6807613</v>
      </c>
      <c r="W7" s="16">
        <v>2847182</v>
      </c>
      <c r="X7" s="16">
        <v>8544695</v>
      </c>
      <c r="Y7" s="16">
        <v>7771151</v>
      </c>
      <c r="Z7" s="17">
        <f>SUM(U7:Y7)</f>
        <v>29603171</v>
      </c>
      <c r="AA7" s="18"/>
    </row>
    <row r="8" spans="2:27">
      <c r="B8" s="15" t="s">
        <v>15</v>
      </c>
      <c r="C8" s="16">
        <v>12076651</v>
      </c>
      <c r="D8" s="16">
        <v>11930703</v>
      </c>
      <c r="E8" s="16">
        <v>249648</v>
      </c>
      <c r="F8" s="16">
        <v>12093821</v>
      </c>
      <c r="G8" s="16">
        <v>20673592</v>
      </c>
      <c r="H8" s="17">
        <f>SUM(C8:G8)</f>
        <v>57024415</v>
      </c>
      <c r="I8" s="16">
        <v>0</v>
      </c>
      <c r="J8" s="17">
        <f>H8+I8</f>
        <v>57024415</v>
      </c>
      <c r="L8" s="15" t="s">
        <v>15</v>
      </c>
      <c r="M8" s="16">
        <v>11443997</v>
      </c>
      <c r="N8" s="16">
        <v>10348616</v>
      </c>
      <c r="O8" s="16">
        <v>27494</v>
      </c>
      <c r="P8" s="16">
        <v>10245877</v>
      </c>
      <c r="Q8" s="16">
        <v>19646565</v>
      </c>
      <c r="R8" s="17">
        <f>SUM(M8:Q8)</f>
        <v>51712549</v>
      </c>
      <c r="T8" s="15" t="s">
        <v>15</v>
      </c>
      <c r="U8" s="16">
        <v>632654</v>
      </c>
      <c r="V8" s="16">
        <v>1582087</v>
      </c>
      <c r="W8" s="16">
        <v>222154</v>
      </c>
      <c r="X8" s="16">
        <v>1847944</v>
      </c>
      <c r="Y8" s="16">
        <v>1027027</v>
      </c>
      <c r="Z8" s="17">
        <f>SUM(U8:Y8)</f>
        <v>5311866</v>
      </c>
      <c r="AA8" s="18"/>
    </row>
    <row r="9" spans="2:27">
      <c r="B9" s="15" t="s">
        <v>16</v>
      </c>
      <c r="C9" s="16">
        <v>6605733</v>
      </c>
      <c r="D9" s="16">
        <v>6246931</v>
      </c>
      <c r="E9" s="16">
        <v>103430</v>
      </c>
      <c r="F9" s="16">
        <v>6793873</v>
      </c>
      <c r="G9" s="16">
        <v>9989859</v>
      </c>
      <c r="H9" s="17">
        <f>SUM(C9:G9)</f>
        <v>29739826</v>
      </c>
      <c r="I9" s="16">
        <v>0</v>
      </c>
      <c r="J9" s="17">
        <f>H9+I9</f>
        <v>29739826</v>
      </c>
      <c r="L9" s="15" t="s">
        <v>16</v>
      </c>
      <c r="M9" s="16">
        <v>6169450</v>
      </c>
      <c r="N9" s="16">
        <v>5656903</v>
      </c>
      <c r="O9" s="16">
        <v>30714</v>
      </c>
      <c r="P9" s="16">
        <v>5749453</v>
      </c>
      <c r="Q9" s="16">
        <v>9391422</v>
      </c>
      <c r="R9" s="17">
        <f>SUM(M9:Q9)</f>
        <v>26997942</v>
      </c>
      <c r="T9" s="15" t="s">
        <v>16</v>
      </c>
      <c r="U9" s="16">
        <v>436283</v>
      </c>
      <c r="V9" s="16">
        <v>590028</v>
      </c>
      <c r="W9" s="16">
        <v>72716</v>
      </c>
      <c r="X9" s="16">
        <v>1044420</v>
      </c>
      <c r="Y9" s="16">
        <v>598437</v>
      </c>
      <c r="Z9" s="17">
        <f>SUM(U9:Y9)</f>
        <v>2741884</v>
      </c>
      <c r="AA9" s="18"/>
    </row>
    <row r="10" spans="2:27">
      <c r="B10" s="15" t="s">
        <v>17</v>
      </c>
      <c r="C10" s="16">
        <v>22820304.116635453</v>
      </c>
      <c r="D10" s="16">
        <v>21870651.775037292</v>
      </c>
      <c r="E10" s="16">
        <v>70156.734011889755</v>
      </c>
      <c r="F10" s="16">
        <v>25485982.899725322</v>
      </c>
      <c r="G10" s="16">
        <v>30505192.411786936</v>
      </c>
      <c r="H10" s="17">
        <f>SUM(C10:G10)</f>
        <v>100752287.93719688</v>
      </c>
      <c r="I10" s="16">
        <v>16811279.858149268</v>
      </c>
      <c r="J10" s="17">
        <f>H10+I10</f>
        <v>117563567.79534614</v>
      </c>
      <c r="L10" s="15" t="s">
        <v>17</v>
      </c>
      <c r="M10" s="16">
        <v>20116658.973669712</v>
      </c>
      <c r="N10" s="16">
        <v>17860779.652064275</v>
      </c>
      <c r="O10" s="16">
        <v>17853.604395604394</v>
      </c>
      <c r="P10" s="16">
        <v>21435544.321934029</v>
      </c>
      <c r="Q10" s="16">
        <v>27697340.034975644</v>
      </c>
      <c r="R10" s="17">
        <f>SUM(M10:Q10)</f>
        <v>87128176.587039262</v>
      </c>
      <c r="T10" s="15" t="s">
        <v>17</v>
      </c>
      <c r="U10" s="16">
        <v>2703645.1429657317</v>
      </c>
      <c r="V10" s="16">
        <v>4009872.1229730207</v>
      </c>
      <c r="W10" s="16">
        <v>52303.129616285354</v>
      </c>
      <c r="X10" s="16">
        <v>4050438.5777912666</v>
      </c>
      <c r="Y10" s="16">
        <v>2807852.3768112566</v>
      </c>
      <c r="Z10" s="17">
        <f>SUM(U10:Y10)</f>
        <v>13624111.350157561</v>
      </c>
      <c r="AA10" s="18"/>
    </row>
    <row r="11" spans="2:27">
      <c r="B11" s="11" t="s">
        <v>18</v>
      </c>
      <c r="C11" s="19">
        <f t="shared" ref="C11:J11" si="0">SUM(C6:C10)</f>
        <v>206969559.11663544</v>
      </c>
      <c r="D11" s="19">
        <f>SUM(D6:D10)</f>
        <v>163602651.77503729</v>
      </c>
      <c r="E11" s="19">
        <f>SUM(E6:E10)</f>
        <v>7213343.7340118894</v>
      </c>
      <c r="F11" s="19">
        <f t="shared" si="0"/>
        <v>165936083.89972532</v>
      </c>
      <c r="G11" s="19">
        <f t="shared" si="0"/>
        <v>324070476.41178691</v>
      </c>
      <c r="H11" s="17">
        <f t="shared" si="0"/>
        <v>867792114.93719685</v>
      </c>
      <c r="I11" s="19">
        <f>SUM(I6:I10)</f>
        <v>17714466.858149268</v>
      </c>
      <c r="J11" s="17">
        <f t="shared" si="0"/>
        <v>885506581.79534614</v>
      </c>
      <c r="L11" s="11" t="s">
        <v>18</v>
      </c>
      <c r="M11" s="19">
        <f t="shared" ref="M11:R11" si="1">SUM(M6:M10)</f>
        <v>199550224.97366971</v>
      </c>
      <c r="N11" s="19">
        <f t="shared" si="1"/>
        <v>150599920.65206426</v>
      </c>
      <c r="O11" s="19">
        <f t="shared" si="1"/>
        <v>4018988.6043956042</v>
      </c>
      <c r="P11" s="19">
        <f t="shared" si="1"/>
        <v>150448586.32193404</v>
      </c>
      <c r="Q11" s="19">
        <f t="shared" si="1"/>
        <v>311834541.03497565</v>
      </c>
      <c r="R11" s="17">
        <f t="shared" si="1"/>
        <v>816452261.58703923</v>
      </c>
      <c r="T11" s="11" t="s">
        <v>18</v>
      </c>
      <c r="U11" s="19">
        <f t="shared" ref="U11:Z11" si="2">SUM(U6:U10)</f>
        <v>7419334.1429657321</v>
      </c>
      <c r="V11" s="19">
        <f t="shared" si="2"/>
        <v>13002731.122973021</v>
      </c>
      <c r="W11" s="19">
        <f t="shared" si="2"/>
        <v>3194355.1296162852</v>
      </c>
      <c r="X11" s="19">
        <f t="shared" si="2"/>
        <v>15487497.577791266</v>
      </c>
      <c r="Y11" s="19">
        <f t="shared" si="2"/>
        <v>12235935.376811257</v>
      </c>
      <c r="Z11" s="17">
        <f t="shared" si="2"/>
        <v>51339853.350157559</v>
      </c>
      <c r="AA11" s="18"/>
    </row>
    <row r="12" spans="2:27">
      <c r="B12" s="11" t="s">
        <v>19</v>
      </c>
      <c r="C12" s="20">
        <f t="shared" ref="C12:J12" si="3">IFERROR(+C10/C11,0)</f>
        <v>0.11025922949265848</v>
      </c>
      <c r="D12" s="20">
        <f>IFERROR(+D10/D11,0)</f>
        <v>0.13368152372683206</v>
      </c>
      <c r="E12" s="20">
        <f>IFERROR(+E10/E11,0)</f>
        <v>9.7259657377883283E-3</v>
      </c>
      <c r="F12" s="20">
        <f t="shared" si="3"/>
        <v>0.15358915493706857</v>
      </c>
      <c r="G12" s="20">
        <f t="shared" si="3"/>
        <v>9.4131352999354614E-2</v>
      </c>
      <c r="H12" s="21">
        <f t="shared" si="3"/>
        <v>0.11610187071645431</v>
      </c>
      <c r="I12" s="20">
        <f t="shared" si="3"/>
        <v>0.94901415847101811</v>
      </c>
      <c r="J12" s="21">
        <f t="shared" si="3"/>
        <v>0.13276419420507124</v>
      </c>
      <c r="L12" s="11" t="s">
        <v>19</v>
      </c>
      <c r="M12" s="20">
        <f t="shared" ref="M12:R12" si="4">IFERROR(+M10/M11,0)</f>
        <v>0.10081000397931933</v>
      </c>
      <c r="N12" s="20">
        <f t="shared" si="4"/>
        <v>0.11859753693581683</v>
      </c>
      <c r="O12" s="20">
        <f t="shared" si="4"/>
        <v>4.4423127689582759E-3</v>
      </c>
      <c r="P12" s="20">
        <f t="shared" si="4"/>
        <v>0.14247753897843651</v>
      </c>
      <c r="Q12" s="20">
        <f t="shared" si="4"/>
        <v>8.8820628859934678E-2</v>
      </c>
      <c r="R12" s="21">
        <f t="shared" si="4"/>
        <v>0.10671557993810618</v>
      </c>
      <c r="T12" s="11" t="s">
        <v>19</v>
      </c>
      <c r="U12" s="20">
        <f t="shared" ref="U12:Z12" si="5">IFERROR(+U10/U11,0)</f>
        <v>0.36440536183817201</v>
      </c>
      <c r="V12" s="20">
        <f t="shared" si="5"/>
        <v>0.30838691387599654</v>
      </c>
      <c r="W12" s="20">
        <f t="shared" si="5"/>
        <v>1.6373611415762702E-2</v>
      </c>
      <c r="X12" s="20">
        <f t="shared" si="5"/>
        <v>0.26152956973497821</v>
      </c>
      <c r="Y12" s="20">
        <f t="shared" si="5"/>
        <v>0.22947590767212733</v>
      </c>
      <c r="Z12" s="21">
        <f t="shared" si="5"/>
        <v>0.26537106090342483</v>
      </c>
    </row>
    <row r="14" spans="2:27">
      <c r="B14" s="5" t="s">
        <v>20</v>
      </c>
    </row>
    <row r="15" spans="2:27">
      <c r="B15" s="5" t="s">
        <v>1</v>
      </c>
      <c r="L15" s="5" t="s">
        <v>2</v>
      </c>
      <c r="M15" s="2"/>
      <c r="N15" s="2"/>
      <c r="O15" s="2"/>
      <c r="P15" s="2"/>
      <c r="Q15" s="2"/>
      <c r="R15" s="2"/>
      <c r="T15" s="7" t="s">
        <v>3</v>
      </c>
      <c r="U15" s="3"/>
      <c r="V15" s="3"/>
      <c r="W15" s="3"/>
      <c r="X15" s="3"/>
      <c r="Y15" s="3"/>
      <c r="Z15" s="3"/>
    </row>
    <row r="16" spans="2:27" ht="27.6">
      <c r="B16" s="11" t="s">
        <v>4</v>
      </c>
      <c r="C16" s="12" t="s">
        <v>5</v>
      </c>
      <c r="D16" s="12" t="s">
        <v>6</v>
      </c>
      <c r="E16" s="12" t="s">
        <v>7</v>
      </c>
      <c r="F16" s="12" t="s">
        <v>8</v>
      </c>
      <c r="G16" s="12" t="s">
        <v>9</v>
      </c>
      <c r="H16" s="13" t="s">
        <v>10</v>
      </c>
      <c r="I16" s="14" t="s">
        <v>11</v>
      </c>
      <c r="J16" s="13" t="s">
        <v>12</v>
      </c>
      <c r="L16" s="11" t="s">
        <v>4</v>
      </c>
      <c r="M16" s="12" t="s">
        <v>5</v>
      </c>
      <c r="N16" s="12" t="s">
        <v>6</v>
      </c>
      <c r="O16" s="12" t="s">
        <v>7</v>
      </c>
      <c r="P16" s="12" t="s">
        <v>8</v>
      </c>
      <c r="Q16" s="12" t="s">
        <v>9</v>
      </c>
      <c r="R16" s="13" t="s">
        <v>10</v>
      </c>
      <c r="T16" s="11" t="s">
        <v>4</v>
      </c>
      <c r="U16" s="12" t="s">
        <v>5</v>
      </c>
      <c r="V16" s="12" t="s">
        <v>6</v>
      </c>
      <c r="W16" s="12" t="s">
        <v>7</v>
      </c>
      <c r="X16" s="12" t="s">
        <v>8</v>
      </c>
      <c r="Y16" s="12" t="s">
        <v>9</v>
      </c>
      <c r="Z16" s="13" t="s">
        <v>10</v>
      </c>
    </row>
    <row r="17" spans="2:27">
      <c r="B17" s="15" t="s">
        <v>13</v>
      </c>
      <c r="C17" s="16">
        <v>117068502</v>
      </c>
      <c r="D17" s="16">
        <v>82473911</v>
      </c>
      <c r="E17" s="16">
        <v>3769765</v>
      </c>
      <c r="F17" s="16">
        <v>79815533</v>
      </c>
      <c r="G17" s="16">
        <v>179893178</v>
      </c>
      <c r="H17" s="17">
        <f>SUM(C17:G17)</f>
        <v>463020889</v>
      </c>
      <c r="I17" s="16">
        <v>0</v>
      </c>
      <c r="J17" s="17">
        <f>H17+I17</f>
        <v>463020889</v>
      </c>
      <c r="L17" s="15" t="s">
        <v>13</v>
      </c>
      <c r="M17" s="16">
        <v>117054280</v>
      </c>
      <c r="N17" s="16">
        <v>82460780</v>
      </c>
      <c r="O17" s="16">
        <v>3769765</v>
      </c>
      <c r="P17" s="16">
        <v>79815533</v>
      </c>
      <c r="Q17" s="16">
        <v>179861710</v>
      </c>
      <c r="R17" s="17">
        <f>SUM(M17:Q17)</f>
        <v>462962068</v>
      </c>
      <c r="T17" s="15" t="s">
        <v>13</v>
      </c>
      <c r="U17" s="16">
        <v>14222</v>
      </c>
      <c r="V17" s="16">
        <v>13131</v>
      </c>
      <c r="W17" s="16">
        <v>0</v>
      </c>
      <c r="X17" s="16">
        <v>0</v>
      </c>
      <c r="Y17" s="16">
        <v>31468</v>
      </c>
      <c r="Z17" s="17">
        <f>SUM(U17:Y17)</f>
        <v>58821</v>
      </c>
    </row>
    <row r="18" spans="2:27">
      <c r="B18" s="15" t="s">
        <v>14</v>
      </c>
      <c r="C18" s="16">
        <v>42970951</v>
      </c>
      <c r="D18" s="16">
        <v>38595257</v>
      </c>
      <c r="E18" s="16">
        <v>3020344</v>
      </c>
      <c r="F18" s="16">
        <v>37669749</v>
      </c>
      <c r="G18" s="16">
        <v>73143368</v>
      </c>
      <c r="H18" s="17">
        <f>SUM(C18:G18)</f>
        <v>195399669</v>
      </c>
      <c r="I18" s="16">
        <v>0</v>
      </c>
      <c r="J18" s="17">
        <f>H18+I18</f>
        <v>195399669</v>
      </c>
      <c r="L18" s="15" t="s">
        <v>14</v>
      </c>
      <c r="M18" s="16">
        <v>39338421</v>
      </c>
      <c r="N18" s="16">
        <v>31787644</v>
      </c>
      <c r="O18" s="16">
        <v>173162</v>
      </c>
      <c r="P18" s="16">
        <v>29125054</v>
      </c>
      <c r="Q18" s="16">
        <v>65372217</v>
      </c>
      <c r="R18" s="17">
        <f>SUM(M18:Q18)</f>
        <v>165796498</v>
      </c>
      <c r="T18" s="15" t="s">
        <v>14</v>
      </c>
      <c r="U18" s="16">
        <v>3632530</v>
      </c>
      <c r="V18" s="16">
        <v>6807613</v>
      </c>
      <c r="W18" s="16">
        <v>2847182</v>
      </c>
      <c r="X18" s="16">
        <v>8544695</v>
      </c>
      <c r="Y18" s="16">
        <v>7771151</v>
      </c>
      <c r="Z18" s="17">
        <f>SUM(U18:Y18)</f>
        <v>29603171</v>
      </c>
      <c r="AA18" s="18"/>
    </row>
    <row r="19" spans="2:27">
      <c r="B19" s="15" t="s">
        <v>15</v>
      </c>
      <c r="C19" s="16">
        <v>10947810</v>
      </c>
      <c r="D19" s="16">
        <v>11364890</v>
      </c>
      <c r="E19" s="16">
        <v>249648</v>
      </c>
      <c r="F19" s="16">
        <v>10945911</v>
      </c>
      <c r="G19" s="16">
        <v>18609763</v>
      </c>
      <c r="H19" s="17">
        <f>SUM(C19:G19)</f>
        <v>52118022</v>
      </c>
      <c r="I19" s="16">
        <v>0</v>
      </c>
      <c r="J19" s="17">
        <f>H19+I19</f>
        <v>52118022</v>
      </c>
      <c r="L19" s="15" t="s">
        <v>15</v>
      </c>
      <c r="M19" s="16">
        <v>10315156</v>
      </c>
      <c r="N19" s="16">
        <v>9782803</v>
      </c>
      <c r="O19" s="16">
        <v>27494</v>
      </c>
      <c r="P19" s="16">
        <v>9097967</v>
      </c>
      <c r="Q19" s="16">
        <v>17582736</v>
      </c>
      <c r="R19" s="17">
        <f>SUM(M19:Q19)</f>
        <v>46806156</v>
      </c>
      <c r="T19" s="15" t="s">
        <v>15</v>
      </c>
      <c r="U19" s="16">
        <v>632654</v>
      </c>
      <c r="V19" s="16">
        <v>1582087</v>
      </c>
      <c r="W19" s="16">
        <v>222154</v>
      </c>
      <c r="X19" s="16">
        <v>1847944</v>
      </c>
      <c r="Y19" s="16">
        <v>1027027</v>
      </c>
      <c r="Z19" s="17">
        <f>SUM(U19:Y19)</f>
        <v>5311866</v>
      </c>
      <c r="AA19" s="18"/>
    </row>
    <row r="20" spans="2:27">
      <c r="B20" s="15" t="s">
        <v>16</v>
      </c>
      <c r="C20" s="16">
        <v>5711800</v>
      </c>
      <c r="D20" s="16">
        <v>5961732</v>
      </c>
      <c r="E20" s="16">
        <v>103430</v>
      </c>
      <c r="F20" s="16">
        <v>5890880</v>
      </c>
      <c r="G20" s="16">
        <v>8950432</v>
      </c>
      <c r="H20" s="17">
        <f>SUM(C20:G20)</f>
        <v>26618274</v>
      </c>
      <c r="I20" s="16">
        <v>0</v>
      </c>
      <c r="J20" s="17">
        <f>H20+I20</f>
        <v>26618274</v>
      </c>
      <c r="L20" s="15" t="s">
        <v>16</v>
      </c>
      <c r="M20" s="16">
        <v>5275517</v>
      </c>
      <c r="N20" s="16">
        <v>5371704</v>
      </c>
      <c r="O20" s="16">
        <v>30714</v>
      </c>
      <c r="P20" s="16">
        <v>4846460</v>
      </c>
      <c r="Q20" s="16">
        <v>8351995</v>
      </c>
      <c r="R20" s="17">
        <f>SUM(M20:Q20)</f>
        <v>23876390</v>
      </c>
      <c r="T20" s="15" t="s">
        <v>16</v>
      </c>
      <c r="U20" s="16">
        <v>436283</v>
      </c>
      <c r="V20" s="16">
        <v>590028</v>
      </c>
      <c r="W20" s="16">
        <v>72716</v>
      </c>
      <c r="X20" s="16">
        <v>1044420</v>
      </c>
      <c r="Y20" s="16">
        <v>598437</v>
      </c>
      <c r="Z20" s="17">
        <f>SUM(U20:Y20)</f>
        <v>2741884</v>
      </c>
      <c r="AA20" s="18"/>
    </row>
    <row r="21" spans="2:27">
      <c r="B21" s="15" t="s">
        <v>17</v>
      </c>
      <c r="C21" s="16">
        <v>17434206.466114547</v>
      </c>
      <c r="D21" s="16">
        <v>19639786.779308237</v>
      </c>
      <c r="E21" s="16">
        <v>70156.734011889755</v>
      </c>
      <c r="F21" s="16">
        <v>20674134.372401904</v>
      </c>
      <c r="G21" s="16">
        <v>25372331.843881357</v>
      </c>
      <c r="H21" s="17">
        <f>SUM(C21:G21)</f>
        <v>83190616.195717931</v>
      </c>
      <c r="I21" s="16">
        <v>0</v>
      </c>
      <c r="J21" s="17">
        <f>H21+I21</f>
        <v>83190616.195717931</v>
      </c>
      <c r="L21" s="15" t="s">
        <v>17</v>
      </c>
      <c r="M21" s="16">
        <v>14800207.359263364</v>
      </c>
      <c r="N21" s="16">
        <v>15648300.419493107</v>
      </c>
      <c r="O21" s="16">
        <v>17853.604395604394</v>
      </c>
      <c r="P21" s="16">
        <v>16690049.128666371</v>
      </c>
      <c r="Q21" s="16">
        <v>22698310.968982942</v>
      </c>
      <c r="R21" s="17">
        <f>SUM(M21:Q21)</f>
        <v>69854721.480801389</v>
      </c>
      <c r="T21" s="15" t="s">
        <v>17</v>
      </c>
      <c r="U21" s="16">
        <v>2633999.106851181</v>
      </c>
      <c r="V21" s="16">
        <v>3991486.3598151263</v>
      </c>
      <c r="W21" s="16">
        <v>52303.129616285354</v>
      </c>
      <c r="X21" s="16">
        <v>3984085.2437355388</v>
      </c>
      <c r="Y21" s="16">
        <v>2674020.8748983857</v>
      </c>
      <c r="Z21" s="17">
        <f>SUM(U21:Y21)</f>
        <v>13335894.714916516</v>
      </c>
      <c r="AA21" s="18"/>
    </row>
    <row r="22" spans="2:27">
      <c r="B22" s="11" t="s">
        <v>18</v>
      </c>
      <c r="C22" s="19">
        <f t="shared" ref="C22:J22" si="6">SUM(C17:C21)</f>
        <v>194133269.46611455</v>
      </c>
      <c r="D22" s="19">
        <f>SUM(D17:D21)</f>
        <v>158035576.77930823</v>
      </c>
      <c r="E22" s="19">
        <f>SUM(E17:E21)</f>
        <v>7213343.7340118894</v>
      </c>
      <c r="F22" s="19">
        <f t="shared" si="6"/>
        <v>154996207.37240189</v>
      </c>
      <c r="G22" s="19">
        <f t="shared" si="6"/>
        <v>305969072.84388137</v>
      </c>
      <c r="H22" s="17">
        <f t="shared" si="6"/>
        <v>820347470.19571793</v>
      </c>
      <c r="I22" s="19">
        <f t="shared" si="6"/>
        <v>0</v>
      </c>
      <c r="J22" s="17">
        <f t="shared" si="6"/>
        <v>820347470.19571793</v>
      </c>
      <c r="L22" s="11" t="s">
        <v>18</v>
      </c>
      <c r="M22" s="19">
        <f t="shared" ref="M22:R22" si="7">SUM(M17:M21)</f>
        <v>186783581.35926336</v>
      </c>
      <c r="N22" s="19">
        <f t="shared" si="7"/>
        <v>145051231.41949311</v>
      </c>
      <c r="O22" s="19">
        <f t="shared" si="7"/>
        <v>4018988.6043956042</v>
      </c>
      <c r="P22" s="19">
        <f t="shared" si="7"/>
        <v>139575063.12866637</v>
      </c>
      <c r="Q22" s="19">
        <f t="shared" si="7"/>
        <v>293866968.96898293</v>
      </c>
      <c r="R22" s="17">
        <f t="shared" si="7"/>
        <v>769295833.48080134</v>
      </c>
      <c r="T22" s="11" t="s">
        <v>18</v>
      </c>
      <c r="U22" s="19">
        <f t="shared" ref="U22:Z22" si="8">SUM(U17:U21)</f>
        <v>7349688.106851181</v>
      </c>
      <c r="V22" s="19">
        <f t="shared" si="8"/>
        <v>12984345.359815126</v>
      </c>
      <c r="W22" s="19">
        <f t="shared" si="8"/>
        <v>3194355.1296162852</v>
      </c>
      <c r="X22" s="19">
        <f t="shared" si="8"/>
        <v>15421144.243735539</v>
      </c>
      <c r="Y22" s="19">
        <f t="shared" si="8"/>
        <v>12102103.874898385</v>
      </c>
      <c r="Z22" s="17">
        <f t="shared" si="8"/>
        <v>51051636.714916512</v>
      </c>
      <c r="AA22" s="18"/>
    </row>
    <row r="23" spans="2:27">
      <c r="B23" s="11" t="s">
        <v>19</v>
      </c>
      <c r="C23" s="20">
        <f t="shared" ref="C23:J23" si="9">IFERROR(+C21/C22,0)</f>
        <v>8.9805351313869686E-2</v>
      </c>
      <c r="D23" s="20">
        <f>IFERROR(+D21/D22,0)</f>
        <v>0.12427446515245481</v>
      </c>
      <c r="E23" s="20">
        <f>IFERROR(+E21/E22,0)</f>
        <v>9.7259657377883283E-3</v>
      </c>
      <c r="F23" s="20">
        <f t="shared" si="9"/>
        <v>0.1333847758140892</v>
      </c>
      <c r="G23" s="20">
        <f t="shared" si="9"/>
        <v>8.2924498244394185E-2</v>
      </c>
      <c r="H23" s="21">
        <f t="shared" si="9"/>
        <v>0.10140899950099239</v>
      </c>
      <c r="I23" s="20">
        <f t="shared" si="9"/>
        <v>0</v>
      </c>
      <c r="J23" s="21">
        <f t="shared" si="9"/>
        <v>0.10140899950099239</v>
      </c>
      <c r="L23" s="11" t="s">
        <v>19</v>
      </c>
      <c r="M23" s="20">
        <f t="shared" ref="M23:R23" si="10">IFERROR(+M21/M22,0)</f>
        <v>7.9237196607748639E-2</v>
      </c>
      <c r="N23" s="20">
        <f t="shared" si="10"/>
        <v>0.10788119663898398</v>
      </c>
      <c r="O23" s="20">
        <f t="shared" si="10"/>
        <v>4.4423127689582759E-3</v>
      </c>
      <c r="P23" s="20">
        <f t="shared" si="10"/>
        <v>0.11957758609989491</v>
      </c>
      <c r="Q23" s="20">
        <f t="shared" si="10"/>
        <v>7.7240089448020618E-2</v>
      </c>
      <c r="R23" s="21">
        <f t="shared" si="10"/>
        <v>9.0803457448524832E-2</v>
      </c>
      <c r="T23" s="11" t="s">
        <v>19</v>
      </c>
      <c r="U23" s="20">
        <f t="shared" ref="U23:Z23" si="11">IFERROR(+U21/U22,0)</f>
        <v>0.35838243318050983</v>
      </c>
      <c r="V23" s="20">
        <f t="shared" si="11"/>
        <v>0.3074075934677663</v>
      </c>
      <c r="W23" s="20">
        <f t="shared" si="11"/>
        <v>1.6373611415762702E-2</v>
      </c>
      <c r="X23" s="20">
        <f t="shared" si="11"/>
        <v>0.25835211582006801</v>
      </c>
      <c r="Y23" s="20">
        <f t="shared" si="11"/>
        <v>0.22095504240752006</v>
      </c>
      <c r="Z23" s="21">
        <f t="shared" si="11"/>
        <v>0.26122364674392445</v>
      </c>
    </row>
    <row r="25" spans="2:27">
      <c r="B25" s="5" t="s">
        <v>21</v>
      </c>
    </row>
    <row r="26" spans="2:27">
      <c r="B26" s="5" t="s">
        <v>1</v>
      </c>
      <c r="L26" s="5" t="s">
        <v>2</v>
      </c>
      <c r="M26" s="2"/>
      <c r="N26" s="2"/>
      <c r="O26" s="2"/>
      <c r="P26" s="2"/>
      <c r="Q26" s="2"/>
      <c r="R26" s="2"/>
      <c r="T26" s="7" t="s">
        <v>3</v>
      </c>
      <c r="U26" s="3"/>
      <c r="V26" s="3"/>
      <c r="W26" s="3"/>
      <c r="X26" s="3"/>
      <c r="Y26" s="3"/>
      <c r="Z26" s="3"/>
    </row>
    <row r="27" spans="2:27" ht="27.6">
      <c r="B27" s="11" t="s">
        <v>4</v>
      </c>
      <c r="C27" s="12" t="s">
        <v>5</v>
      </c>
      <c r="D27" s="12" t="s">
        <v>6</v>
      </c>
      <c r="E27" s="12" t="s">
        <v>7</v>
      </c>
      <c r="F27" s="12" t="s">
        <v>8</v>
      </c>
      <c r="G27" s="12" t="s">
        <v>9</v>
      </c>
      <c r="H27" s="13" t="s">
        <v>10</v>
      </c>
      <c r="I27" s="14" t="s">
        <v>11</v>
      </c>
      <c r="J27" s="13" t="s">
        <v>12</v>
      </c>
      <c r="L27" s="11" t="s">
        <v>4</v>
      </c>
      <c r="M27" s="12" t="s">
        <v>5</v>
      </c>
      <c r="N27" s="12" t="s">
        <v>6</v>
      </c>
      <c r="O27" s="12" t="s">
        <v>7</v>
      </c>
      <c r="P27" s="12" t="s">
        <v>8</v>
      </c>
      <c r="Q27" s="12" t="s">
        <v>9</v>
      </c>
      <c r="R27" s="13" t="s">
        <v>10</v>
      </c>
      <c r="T27" s="11" t="s">
        <v>4</v>
      </c>
      <c r="U27" s="12" t="s">
        <v>5</v>
      </c>
      <c r="V27" s="12" t="s">
        <v>6</v>
      </c>
      <c r="W27" s="12" t="s">
        <v>7</v>
      </c>
      <c r="X27" s="12" t="s">
        <v>8</v>
      </c>
      <c r="Y27" s="12" t="s">
        <v>9</v>
      </c>
      <c r="Z27" s="13" t="s">
        <v>10</v>
      </c>
    </row>
    <row r="28" spans="2:27">
      <c r="B28" s="15" t="s">
        <v>13</v>
      </c>
      <c r="C28" s="16">
        <f t="shared" ref="C28:G32" si="12">C6-C17</f>
        <v>2845092</v>
      </c>
      <c r="D28" s="16">
        <f t="shared" si="12"/>
        <v>1311272</v>
      </c>
      <c r="E28" s="16">
        <f t="shared" si="12"/>
        <v>0</v>
      </c>
      <c r="F28" s="16">
        <f t="shared" si="12"/>
        <v>2002323</v>
      </c>
      <c r="G28" s="16">
        <f t="shared" si="12"/>
        <v>5377668</v>
      </c>
      <c r="H28" s="17">
        <f>SUM(C28:G28)</f>
        <v>11536355</v>
      </c>
      <c r="I28" s="16">
        <f>I6-I17</f>
        <v>903187</v>
      </c>
      <c r="J28" s="17">
        <f>H28+I28</f>
        <v>12439542</v>
      </c>
      <c r="L28" s="15" t="s">
        <v>13</v>
      </c>
      <c r="M28" s="16">
        <f t="shared" ref="M28:Q32" si="13">M6-M17</f>
        <v>2845092</v>
      </c>
      <c r="N28" s="16">
        <f t="shared" si="13"/>
        <v>1311272</v>
      </c>
      <c r="O28" s="16">
        <f t="shared" si="13"/>
        <v>0</v>
      </c>
      <c r="P28" s="16">
        <f t="shared" si="13"/>
        <v>2002323</v>
      </c>
      <c r="Q28" s="16">
        <f t="shared" si="13"/>
        <v>5377668</v>
      </c>
      <c r="R28" s="17">
        <f>SUM(M28:Q28)</f>
        <v>11536355</v>
      </c>
      <c r="T28" s="15" t="s">
        <v>13</v>
      </c>
      <c r="U28" s="16">
        <f t="shared" ref="U28:Y32" si="14">U6-U17</f>
        <v>0</v>
      </c>
      <c r="V28" s="16">
        <f t="shared" si="14"/>
        <v>0</v>
      </c>
      <c r="W28" s="16">
        <f t="shared" si="14"/>
        <v>0</v>
      </c>
      <c r="X28" s="16">
        <f t="shared" si="14"/>
        <v>0</v>
      </c>
      <c r="Y28" s="16">
        <f t="shared" si="14"/>
        <v>0</v>
      </c>
      <c r="Z28" s="17">
        <f>SUM(U28:Y28)</f>
        <v>0</v>
      </c>
    </row>
    <row r="29" spans="2:27">
      <c r="B29" s="15" t="s">
        <v>14</v>
      </c>
      <c r="C29" s="16">
        <f t="shared" si="12"/>
        <v>2582326</v>
      </c>
      <c r="D29" s="16">
        <f t="shared" si="12"/>
        <v>1173926</v>
      </c>
      <c r="E29" s="16">
        <f t="shared" si="12"/>
        <v>0</v>
      </c>
      <c r="F29" s="16">
        <f t="shared" si="12"/>
        <v>2074802</v>
      </c>
      <c r="G29" s="16">
        <f t="shared" si="12"/>
        <v>4487619</v>
      </c>
      <c r="H29" s="17">
        <f>SUM(C29:G29)</f>
        <v>10318673</v>
      </c>
      <c r="I29" s="16">
        <f>I7-I18</f>
        <v>0</v>
      </c>
      <c r="J29" s="17">
        <f>H29+I29</f>
        <v>10318673</v>
      </c>
      <c r="L29" s="15" t="s">
        <v>14</v>
      </c>
      <c r="M29" s="16">
        <f t="shared" si="13"/>
        <v>2582326</v>
      </c>
      <c r="N29" s="16">
        <f t="shared" si="13"/>
        <v>1173926</v>
      </c>
      <c r="O29" s="16">
        <f t="shared" si="13"/>
        <v>0</v>
      </c>
      <c r="P29" s="16">
        <f t="shared" si="13"/>
        <v>2074802</v>
      </c>
      <c r="Q29" s="16">
        <f t="shared" si="13"/>
        <v>4487619</v>
      </c>
      <c r="R29" s="17">
        <f>SUM(M29:Q29)</f>
        <v>10318673</v>
      </c>
      <c r="T29" s="15" t="s">
        <v>14</v>
      </c>
      <c r="U29" s="16">
        <f t="shared" si="14"/>
        <v>0</v>
      </c>
      <c r="V29" s="16">
        <f t="shared" si="14"/>
        <v>0</v>
      </c>
      <c r="W29" s="16">
        <f t="shared" si="14"/>
        <v>0</v>
      </c>
      <c r="X29" s="16">
        <f t="shared" si="14"/>
        <v>0</v>
      </c>
      <c r="Y29" s="16">
        <f t="shared" si="14"/>
        <v>0</v>
      </c>
      <c r="Z29" s="17">
        <f>SUM(U29:Y29)</f>
        <v>0</v>
      </c>
      <c r="AA29" s="18"/>
    </row>
    <row r="30" spans="2:27">
      <c r="B30" s="15" t="s">
        <v>15</v>
      </c>
      <c r="C30" s="16">
        <f t="shared" si="12"/>
        <v>1128841</v>
      </c>
      <c r="D30" s="16">
        <f t="shared" si="12"/>
        <v>565813</v>
      </c>
      <c r="E30" s="16">
        <f t="shared" si="12"/>
        <v>0</v>
      </c>
      <c r="F30" s="16">
        <f t="shared" si="12"/>
        <v>1147910</v>
      </c>
      <c r="G30" s="16">
        <f t="shared" si="12"/>
        <v>2063829</v>
      </c>
      <c r="H30" s="17">
        <f>SUM(C30:G30)</f>
        <v>4906393</v>
      </c>
      <c r="I30" s="16">
        <f>I8-I19</f>
        <v>0</v>
      </c>
      <c r="J30" s="17">
        <f>H30+I30</f>
        <v>4906393</v>
      </c>
      <c r="L30" s="15" t="s">
        <v>15</v>
      </c>
      <c r="M30" s="16">
        <f t="shared" si="13"/>
        <v>1128841</v>
      </c>
      <c r="N30" s="16">
        <f t="shared" si="13"/>
        <v>565813</v>
      </c>
      <c r="O30" s="16">
        <f t="shared" si="13"/>
        <v>0</v>
      </c>
      <c r="P30" s="16">
        <f t="shared" si="13"/>
        <v>1147910</v>
      </c>
      <c r="Q30" s="16">
        <f t="shared" si="13"/>
        <v>2063829</v>
      </c>
      <c r="R30" s="17">
        <f>SUM(M30:Q30)</f>
        <v>4906393</v>
      </c>
      <c r="T30" s="15" t="s">
        <v>15</v>
      </c>
      <c r="U30" s="16">
        <f t="shared" si="14"/>
        <v>0</v>
      </c>
      <c r="V30" s="16">
        <f t="shared" si="14"/>
        <v>0</v>
      </c>
      <c r="W30" s="16">
        <f t="shared" si="14"/>
        <v>0</v>
      </c>
      <c r="X30" s="16">
        <f t="shared" si="14"/>
        <v>0</v>
      </c>
      <c r="Y30" s="16">
        <f t="shared" si="14"/>
        <v>0</v>
      </c>
      <c r="Z30" s="17">
        <f>SUM(U30:Y30)</f>
        <v>0</v>
      </c>
      <c r="AA30" s="18"/>
    </row>
    <row r="31" spans="2:27">
      <c r="B31" s="15" t="s">
        <v>16</v>
      </c>
      <c r="C31" s="16">
        <f t="shared" si="12"/>
        <v>893933</v>
      </c>
      <c r="D31" s="16">
        <f t="shared" si="12"/>
        <v>285199</v>
      </c>
      <c r="E31" s="16">
        <f t="shared" si="12"/>
        <v>0</v>
      </c>
      <c r="F31" s="16">
        <f t="shared" si="12"/>
        <v>902993</v>
      </c>
      <c r="G31" s="16">
        <f t="shared" si="12"/>
        <v>1039427</v>
      </c>
      <c r="H31" s="17">
        <f>SUM(C31:G31)</f>
        <v>3121552</v>
      </c>
      <c r="I31" s="16">
        <f>I9-I20</f>
        <v>0</v>
      </c>
      <c r="J31" s="17">
        <f>H31+I31</f>
        <v>3121552</v>
      </c>
      <c r="L31" s="15" t="s">
        <v>16</v>
      </c>
      <c r="M31" s="16">
        <f t="shared" si="13"/>
        <v>893933</v>
      </c>
      <c r="N31" s="16">
        <f t="shared" si="13"/>
        <v>285199</v>
      </c>
      <c r="O31" s="16">
        <f t="shared" si="13"/>
        <v>0</v>
      </c>
      <c r="P31" s="16">
        <f t="shared" si="13"/>
        <v>902993</v>
      </c>
      <c r="Q31" s="16">
        <f t="shared" si="13"/>
        <v>1039427</v>
      </c>
      <c r="R31" s="17">
        <f>SUM(M31:Q31)</f>
        <v>3121552</v>
      </c>
      <c r="T31" s="15" t="s">
        <v>16</v>
      </c>
      <c r="U31" s="16">
        <f t="shared" si="14"/>
        <v>0</v>
      </c>
      <c r="V31" s="16">
        <f t="shared" si="14"/>
        <v>0</v>
      </c>
      <c r="W31" s="16">
        <f t="shared" si="14"/>
        <v>0</v>
      </c>
      <c r="X31" s="16">
        <f t="shared" si="14"/>
        <v>0</v>
      </c>
      <c r="Y31" s="16">
        <f t="shared" si="14"/>
        <v>0</v>
      </c>
      <c r="Z31" s="17">
        <f>SUM(U31:Y31)</f>
        <v>0</v>
      </c>
      <c r="AA31" s="18"/>
    </row>
    <row r="32" spans="2:27">
      <c r="B32" s="15" t="s">
        <v>17</v>
      </c>
      <c r="C32" s="16">
        <f t="shared" si="12"/>
        <v>5386097.6505209059</v>
      </c>
      <c r="D32" s="16">
        <f t="shared" si="12"/>
        <v>2230864.9957290553</v>
      </c>
      <c r="E32" s="16">
        <f t="shared" si="12"/>
        <v>0</v>
      </c>
      <c r="F32" s="16">
        <f t="shared" si="12"/>
        <v>4811848.5273234174</v>
      </c>
      <c r="G32" s="16">
        <f t="shared" si="12"/>
        <v>5132860.5679055788</v>
      </c>
      <c r="H32" s="17">
        <f>SUM(C32:G32)</f>
        <v>17561671.741478957</v>
      </c>
      <c r="I32" s="16">
        <f>I10-I21</f>
        <v>16811279.858149268</v>
      </c>
      <c r="J32" s="17">
        <f>H32+I32</f>
        <v>34372951.599628225</v>
      </c>
      <c r="L32" s="15" t="s">
        <v>17</v>
      </c>
      <c r="M32" s="16">
        <f t="shared" si="13"/>
        <v>5316451.6144063473</v>
      </c>
      <c r="N32" s="16">
        <f t="shared" si="13"/>
        <v>2212479.2325711679</v>
      </c>
      <c r="O32" s="16">
        <f t="shared" si="13"/>
        <v>0</v>
      </c>
      <c r="P32" s="16">
        <f t="shared" si="13"/>
        <v>4745495.1932676584</v>
      </c>
      <c r="Q32" s="16">
        <f t="shared" si="13"/>
        <v>4999029.0659927018</v>
      </c>
      <c r="R32" s="17">
        <f>SUM(M32:Q32)</f>
        <v>17273455.106237873</v>
      </c>
      <c r="T32" s="15" t="s">
        <v>17</v>
      </c>
      <c r="U32" s="16">
        <f t="shared" si="14"/>
        <v>69646.036114550661</v>
      </c>
      <c r="V32" s="16">
        <f t="shared" si="14"/>
        <v>18385.763157894369</v>
      </c>
      <c r="W32" s="16">
        <f t="shared" si="14"/>
        <v>0</v>
      </c>
      <c r="X32" s="16">
        <f t="shared" si="14"/>
        <v>66353.334055727813</v>
      </c>
      <c r="Y32" s="16">
        <f t="shared" si="14"/>
        <v>133831.50191287091</v>
      </c>
      <c r="Z32" s="17">
        <f>SUM(U32:Y32)</f>
        <v>288216.63524104375</v>
      </c>
      <c r="AA32" s="18"/>
    </row>
    <row r="33" spans="2:27">
      <c r="B33" s="11" t="s">
        <v>18</v>
      </c>
      <c r="C33" s="19">
        <f t="shared" ref="C33:J33" si="15">SUM(C28:C32)</f>
        <v>12836289.650520906</v>
      </c>
      <c r="D33" s="19">
        <f>SUM(D28:D32)</f>
        <v>5567074.9957290553</v>
      </c>
      <c r="E33" s="19">
        <f>SUM(E28:E32)</f>
        <v>0</v>
      </c>
      <c r="F33" s="19">
        <f t="shared" si="15"/>
        <v>10939876.527323417</v>
      </c>
      <c r="G33" s="19">
        <f t="shared" si="15"/>
        <v>18101403.567905579</v>
      </c>
      <c r="H33" s="17">
        <f t="shared" si="15"/>
        <v>47444644.741478957</v>
      </c>
      <c r="I33" s="19">
        <f t="shared" si="15"/>
        <v>17714466.858149268</v>
      </c>
      <c r="J33" s="17">
        <f t="shared" si="15"/>
        <v>65159111.599628225</v>
      </c>
      <c r="L33" s="11" t="s">
        <v>18</v>
      </c>
      <c r="M33" s="19">
        <f t="shared" ref="M33:R33" si="16">SUM(M28:M32)</f>
        <v>12766643.614406347</v>
      </c>
      <c r="N33" s="19">
        <f t="shared" si="16"/>
        <v>5548689.2325711679</v>
      </c>
      <c r="O33" s="19">
        <f t="shared" si="16"/>
        <v>0</v>
      </c>
      <c r="P33" s="19">
        <f t="shared" si="16"/>
        <v>10873523.193267658</v>
      </c>
      <c r="Q33" s="19">
        <f t="shared" si="16"/>
        <v>17967572.065992702</v>
      </c>
      <c r="R33" s="17">
        <f t="shared" si="16"/>
        <v>47156428.106237873</v>
      </c>
      <c r="T33" s="11" t="s">
        <v>18</v>
      </c>
      <c r="U33" s="19">
        <f t="shared" ref="U33:Z33" si="17">SUM(U28:U32)</f>
        <v>69646.036114550661</v>
      </c>
      <c r="V33" s="19">
        <f t="shared" si="17"/>
        <v>18385.763157894369</v>
      </c>
      <c r="W33" s="19">
        <f t="shared" si="17"/>
        <v>0</v>
      </c>
      <c r="X33" s="19">
        <f t="shared" si="17"/>
        <v>66353.334055727813</v>
      </c>
      <c r="Y33" s="19">
        <f t="shared" si="17"/>
        <v>133831.50191287091</v>
      </c>
      <c r="Z33" s="17">
        <f t="shared" si="17"/>
        <v>288216.63524104375</v>
      </c>
      <c r="AA33" s="18"/>
    </row>
    <row r="34" spans="2:27">
      <c r="B34" s="11" t="s">
        <v>19</v>
      </c>
      <c r="C34" s="20">
        <f t="shared" ref="C34:J34" si="18">IFERROR(+C32/C33,0)</f>
        <v>0.41959926093614863</v>
      </c>
      <c r="D34" s="20">
        <f>IFERROR(+D32/D33,0)</f>
        <v>0.40072479667339289</v>
      </c>
      <c r="E34" s="20">
        <f>IFERROR(+E32/E33,0)</f>
        <v>0</v>
      </c>
      <c r="F34" s="20">
        <f t="shared" si="18"/>
        <v>0.43984486619253449</v>
      </c>
      <c r="G34" s="20">
        <f t="shared" si="18"/>
        <v>0.28356146796297721</v>
      </c>
      <c r="H34" s="21">
        <f t="shared" si="18"/>
        <v>0.37015076911568673</v>
      </c>
      <c r="I34" s="20">
        <f t="shared" si="18"/>
        <v>0.94901415847101811</v>
      </c>
      <c r="J34" s="21">
        <f t="shared" si="18"/>
        <v>0.5275233310551205</v>
      </c>
      <c r="L34" s="11" t="s">
        <v>19</v>
      </c>
      <c r="M34" s="20">
        <f t="shared" ref="M34:R34" si="19">IFERROR(+M32/M33,0)</f>
        <v>0.41643299327374261</v>
      </c>
      <c r="N34" s="20">
        <f t="shared" si="19"/>
        <v>0.39873907869695968</v>
      </c>
      <c r="O34" s="20">
        <f t="shared" si="19"/>
        <v>0</v>
      </c>
      <c r="P34" s="20">
        <f t="shared" si="19"/>
        <v>0.43642664009820031</v>
      </c>
      <c r="Q34" s="20">
        <f t="shared" si="19"/>
        <v>0.27822507390714102</v>
      </c>
      <c r="R34" s="21">
        <f t="shared" si="19"/>
        <v>0.36630117674143631</v>
      </c>
      <c r="T34" s="11" t="s">
        <v>19</v>
      </c>
      <c r="U34" s="20">
        <f t="shared" ref="U34:Z34" si="20">IFERROR(+U32/U33,0)</f>
        <v>1</v>
      </c>
      <c r="V34" s="20">
        <f t="shared" si="20"/>
        <v>1</v>
      </c>
      <c r="W34" s="20">
        <f t="shared" si="20"/>
        <v>0</v>
      </c>
      <c r="X34" s="20">
        <f t="shared" si="20"/>
        <v>1</v>
      </c>
      <c r="Y34" s="20">
        <f t="shared" si="20"/>
        <v>1</v>
      </c>
      <c r="Z34" s="21">
        <f t="shared" si="20"/>
        <v>1</v>
      </c>
    </row>
    <row r="36" spans="2:27">
      <c r="B36" s="5" t="s">
        <v>22</v>
      </c>
    </row>
    <row r="37" spans="2:27">
      <c r="B37" s="5" t="s">
        <v>1</v>
      </c>
      <c r="L37" s="5" t="s">
        <v>2</v>
      </c>
      <c r="M37" s="2"/>
      <c r="N37" s="2"/>
      <c r="O37" s="2"/>
      <c r="P37" s="2"/>
      <c r="Q37" s="2"/>
      <c r="R37" s="2"/>
      <c r="T37" s="7" t="s">
        <v>3</v>
      </c>
    </row>
    <row r="38" spans="2:27" ht="27.6">
      <c r="B38" s="11" t="s">
        <v>4</v>
      </c>
      <c r="C38" s="12" t="s">
        <v>5</v>
      </c>
      <c r="D38" s="12" t="s">
        <v>6</v>
      </c>
      <c r="E38" s="12" t="s">
        <v>7</v>
      </c>
      <c r="F38" s="12" t="s">
        <v>8</v>
      </c>
      <c r="G38" s="12" t="s">
        <v>9</v>
      </c>
      <c r="H38" s="13" t="s">
        <v>10</v>
      </c>
      <c r="I38" s="14" t="s">
        <v>11</v>
      </c>
      <c r="J38" s="13" t="s">
        <v>12</v>
      </c>
      <c r="L38" s="11" t="s">
        <v>4</v>
      </c>
      <c r="M38" s="12" t="s">
        <v>5</v>
      </c>
      <c r="N38" s="12" t="s">
        <v>6</v>
      </c>
      <c r="O38" s="12" t="s">
        <v>7</v>
      </c>
      <c r="P38" s="12" t="s">
        <v>8</v>
      </c>
      <c r="Q38" s="12" t="s">
        <v>9</v>
      </c>
      <c r="R38" s="13" t="s">
        <v>10</v>
      </c>
      <c r="T38" s="11" t="s">
        <v>4</v>
      </c>
      <c r="U38" s="12" t="s">
        <v>5</v>
      </c>
      <c r="V38" s="12" t="s">
        <v>6</v>
      </c>
      <c r="W38" s="12" t="s">
        <v>7</v>
      </c>
      <c r="X38" s="12" t="s">
        <v>8</v>
      </c>
      <c r="Y38" s="12" t="s">
        <v>9</v>
      </c>
      <c r="Z38" s="13" t="s">
        <v>10</v>
      </c>
    </row>
    <row r="39" spans="2:27">
      <c r="B39" s="15" t="s">
        <v>13</v>
      </c>
      <c r="C39" s="16">
        <v>4302</v>
      </c>
      <c r="D39" s="16">
        <v>4669</v>
      </c>
      <c r="E39" s="16">
        <v>92</v>
      </c>
      <c r="F39" s="16">
        <v>5878</v>
      </c>
      <c r="G39" s="16">
        <v>10999</v>
      </c>
      <c r="H39" s="17">
        <f>SUM(C39:G39)</f>
        <v>25940</v>
      </c>
      <c r="I39" s="16">
        <v>0</v>
      </c>
      <c r="J39" s="17">
        <f>H39+I39</f>
        <v>25940</v>
      </c>
      <c r="L39" s="15" t="s">
        <v>13</v>
      </c>
      <c r="M39" s="16">
        <v>4302</v>
      </c>
      <c r="N39" s="16">
        <v>3983</v>
      </c>
      <c r="O39" s="16">
        <v>92</v>
      </c>
      <c r="P39" s="16">
        <v>5878</v>
      </c>
      <c r="Q39" s="16">
        <v>10026</v>
      </c>
      <c r="R39" s="17">
        <f>SUM(M39:Q39)</f>
        <v>24281</v>
      </c>
      <c r="T39" s="15" t="s">
        <v>13</v>
      </c>
      <c r="U39" s="16">
        <v>0</v>
      </c>
      <c r="V39" s="16">
        <v>686</v>
      </c>
      <c r="W39" s="16">
        <v>0</v>
      </c>
      <c r="X39" s="16">
        <v>0</v>
      </c>
      <c r="Y39" s="16">
        <v>973</v>
      </c>
      <c r="Z39" s="17">
        <f>SUM(U39:Y39)</f>
        <v>1659</v>
      </c>
    </row>
    <row r="40" spans="2:27">
      <c r="B40" s="15" t="s">
        <v>14</v>
      </c>
      <c r="C40" s="16">
        <v>4713455</v>
      </c>
      <c r="D40" s="16">
        <v>2971807</v>
      </c>
      <c r="E40" s="16">
        <v>168945</v>
      </c>
      <c r="F40" s="16">
        <v>3209607</v>
      </c>
      <c r="G40" s="16">
        <v>4265501</v>
      </c>
      <c r="H40" s="17">
        <f>SUM(C40:G40)</f>
        <v>15329315</v>
      </c>
      <c r="I40" s="16">
        <v>0</v>
      </c>
      <c r="J40" s="17">
        <f>H40+I40</f>
        <v>15329315</v>
      </c>
      <c r="L40" s="15" t="s">
        <v>14</v>
      </c>
      <c r="M40" s="16">
        <v>4431072</v>
      </c>
      <c r="N40" s="16">
        <v>2548821</v>
      </c>
      <c r="O40" s="16">
        <v>14082</v>
      </c>
      <c r="P40" s="16">
        <v>2683016</v>
      </c>
      <c r="Q40" s="16">
        <v>3873089</v>
      </c>
      <c r="R40" s="17">
        <f>SUM(M40:Q40)</f>
        <v>13550080</v>
      </c>
      <c r="T40" s="15" t="s">
        <v>14</v>
      </c>
      <c r="U40" s="16">
        <v>282383</v>
      </c>
      <c r="V40" s="16">
        <v>422986</v>
      </c>
      <c r="W40" s="16">
        <v>154863</v>
      </c>
      <c r="X40" s="16">
        <v>526591</v>
      </c>
      <c r="Y40" s="16">
        <v>392412</v>
      </c>
      <c r="Z40" s="17">
        <f>SUM(U40:Y40)</f>
        <v>1779235</v>
      </c>
      <c r="AA40" s="18"/>
    </row>
    <row r="41" spans="2:27">
      <c r="B41" s="15" t="s">
        <v>15</v>
      </c>
      <c r="C41" s="16">
        <v>2406032</v>
      </c>
      <c r="D41" s="16">
        <v>1767538</v>
      </c>
      <c r="E41" s="16">
        <v>24512</v>
      </c>
      <c r="F41" s="16">
        <v>1958067</v>
      </c>
      <c r="G41" s="16">
        <v>2101164</v>
      </c>
      <c r="H41" s="17">
        <f>SUM(C41:G41)</f>
        <v>8257313</v>
      </c>
      <c r="I41" s="16">
        <v>0</v>
      </c>
      <c r="J41" s="17">
        <f>H41+I41</f>
        <v>8257313</v>
      </c>
      <c r="L41" s="15" t="s">
        <v>15</v>
      </c>
      <c r="M41" s="16">
        <v>2316592</v>
      </c>
      <c r="N41" s="16">
        <v>1573968</v>
      </c>
      <c r="O41" s="16">
        <v>3428</v>
      </c>
      <c r="P41" s="16">
        <v>1732702</v>
      </c>
      <c r="Q41" s="16">
        <v>2014990</v>
      </c>
      <c r="R41" s="17">
        <f>SUM(M41:Q41)</f>
        <v>7641680</v>
      </c>
      <c r="T41" s="15" t="s">
        <v>15</v>
      </c>
      <c r="U41" s="16">
        <v>89440</v>
      </c>
      <c r="V41" s="16">
        <v>193570</v>
      </c>
      <c r="W41" s="16">
        <v>21084</v>
      </c>
      <c r="X41" s="16">
        <v>225365</v>
      </c>
      <c r="Y41" s="16">
        <v>86174</v>
      </c>
      <c r="Z41" s="17">
        <f>SUM(U41:Y41)</f>
        <v>615633</v>
      </c>
      <c r="AA41" s="18"/>
    </row>
    <row r="42" spans="2:27">
      <c r="B42" s="15" t="s">
        <v>16</v>
      </c>
      <c r="C42" s="16">
        <v>1876799</v>
      </c>
      <c r="D42" s="16">
        <v>1336591</v>
      </c>
      <c r="E42" s="16">
        <v>24400</v>
      </c>
      <c r="F42" s="16">
        <v>1554592</v>
      </c>
      <c r="G42" s="16">
        <v>1498779</v>
      </c>
      <c r="H42" s="17">
        <f>SUM(C42:G42)</f>
        <v>6291161</v>
      </c>
      <c r="I42" s="16">
        <v>0</v>
      </c>
      <c r="J42" s="17">
        <f>H42+I42</f>
        <v>6291161</v>
      </c>
      <c r="L42" s="15" t="s">
        <v>16</v>
      </c>
      <c r="M42" s="16">
        <v>1776782</v>
      </c>
      <c r="N42" s="16">
        <v>1230169</v>
      </c>
      <c r="O42" s="16">
        <v>4663</v>
      </c>
      <c r="P42" s="16">
        <v>1366597</v>
      </c>
      <c r="Q42" s="16">
        <v>1423983</v>
      </c>
      <c r="R42" s="17">
        <f>SUM(M42:Q42)</f>
        <v>5802194</v>
      </c>
      <c r="T42" s="15" t="s">
        <v>16</v>
      </c>
      <c r="U42" s="16">
        <v>100017</v>
      </c>
      <c r="V42" s="16">
        <v>106422</v>
      </c>
      <c r="W42" s="16">
        <v>19737</v>
      </c>
      <c r="X42" s="16">
        <v>187995</v>
      </c>
      <c r="Y42" s="16">
        <v>74796</v>
      </c>
      <c r="Z42" s="17">
        <f>SUM(U42:Y42)</f>
        <v>488967</v>
      </c>
      <c r="AA42" s="18"/>
    </row>
    <row r="43" spans="2:27">
      <c r="B43" s="15" t="s">
        <v>17</v>
      </c>
      <c r="C43" s="16">
        <v>14489232</v>
      </c>
      <c r="D43" s="16">
        <v>12173645</v>
      </c>
      <c r="E43" s="16">
        <v>12072</v>
      </c>
      <c r="F43" s="16">
        <v>15707570</v>
      </c>
      <c r="G43" s="16">
        <v>11136492</v>
      </c>
      <c r="H43" s="17">
        <f>SUM(C43:G43)</f>
        <v>53519011</v>
      </c>
      <c r="I43" s="16">
        <v>14005352</v>
      </c>
      <c r="J43" s="17">
        <f>H43+I43</f>
        <v>67524363</v>
      </c>
      <c r="L43" s="15" t="s">
        <v>17</v>
      </c>
      <c r="M43" s="16">
        <v>12763198</v>
      </c>
      <c r="N43" s="16">
        <v>9742737</v>
      </c>
      <c r="O43" s="16">
        <v>4046</v>
      </c>
      <c r="P43" s="16">
        <v>13220157</v>
      </c>
      <c r="Q43" s="16">
        <v>10193926</v>
      </c>
      <c r="R43" s="17">
        <f>SUM(M43:Q43)</f>
        <v>45924064</v>
      </c>
      <c r="T43" s="15" t="s">
        <v>17</v>
      </c>
      <c r="U43" s="16">
        <v>1726034</v>
      </c>
      <c r="V43" s="16">
        <v>2430908</v>
      </c>
      <c r="W43" s="16">
        <v>8026</v>
      </c>
      <c r="X43" s="16">
        <v>2487413</v>
      </c>
      <c r="Y43" s="16">
        <v>942566</v>
      </c>
      <c r="Z43" s="17">
        <f>SUM(U43:Y43)</f>
        <v>7594947</v>
      </c>
      <c r="AA43" s="18"/>
    </row>
    <row r="44" spans="2:27">
      <c r="B44" s="11" t="s">
        <v>18</v>
      </c>
      <c r="C44" s="19">
        <f t="shared" ref="C44:J44" si="21">SUM(C39:C43)</f>
        <v>23489820</v>
      </c>
      <c r="D44" s="19">
        <f>SUM(D39:D43)</f>
        <v>18254250</v>
      </c>
      <c r="E44" s="19">
        <f>SUM(E39:E43)</f>
        <v>230021</v>
      </c>
      <c r="F44" s="19">
        <f t="shared" si="21"/>
        <v>22435714</v>
      </c>
      <c r="G44" s="19">
        <f t="shared" si="21"/>
        <v>19012935</v>
      </c>
      <c r="H44" s="17">
        <f t="shared" si="21"/>
        <v>83422740</v>
      </c>
      <c r="I44" s="19">
        <f t="shared" si="21"/>
        <v>14005352</v>
      </c>
      <c r="J44" s="17">
        <f t="shared" si="21"/>
        <v>97428092</v>
      </c>
      <c r="L44" s="11" t="s">
        <v>18</v>
      </c>
      <c r="M44" s="19">
        <f t="shared" ref="M44:R44" si="22">SUM(M39:M43)</f>
        <v>21291946</v>
      </c>
      <c r="N44" s="19">
        <f t="shared" si="22"/>
        <v>15099678</v>
      </c>
      <c r="O44" s="19">
        <f t="shared" si="22"/>
        <v>26311</v>
      </c>
      <c r="P44" s="19">
        <f t="shared" si="22"/>
        <v>19008350</v>
      </c>
      <c r="Q44" s="19">
        <f t="shared" si="22"/>
        <v>17516014</v>
      </c>
      <c r="R44" s="17">
        <f t="shared" si="22"/>
        <v>72942299</v>
      </c>
      <c r="T44" s="11" t="s">
        <v>18</v>
      </c>
      <c r="U44" s="19">
        <f t="shared" ref="U44:Z44" si="23">SUM(U39:U43)</f>
        <v>2197874</v>
      </c>
      <c r="V44" s="19">
        <f t="shared" si="23"/>
        <v>3154572</v>
      </c>
      <c r="W44" s="19">
        <f t="shared" si="23"/>
        <v>203710</v>
      </c>
      <c r="X44" s="19">
        <f t="shared" si="23"/>
        <v>3427364</v>
      </c>
      <c r="Y44" s="19">
        <f t="shared" si="23"/>
        <v>1496921</v>
      </c>
      <c r="Z44" s="17">
        <f t="shared" si="23"/>
        <v>10480441</v>
      </c>
      <c r="AA44" s="18"/>
    </row>
    <row r="45" spans="2:27">
      <c r="B45" s="11" t="s">
        <v>19</v>
      </c>
      <c r="C45" s="20">
        <f t="shared" ref="C45:J45" si="24">IFERROR(+C43/C44,0)</f>
        <v>0.61683026945289487</v>
      </c>
      <c r="D45" s="20">
        <f>IFERROR(+D43/D44,0)</f>
        <v>0.66689373707492772</v>
      </c>
      <c r="E45" s="20">
        <f>IFERROR(+E43/E44,0)</f>
        <v>5.248216467192126E-2</v>
      </c>
      <c r="F45" s="20">
        <f t="shared" si="24"/>
        <v>0.70011455842234394</v>
      </c>
      <c r="G45" s="20">
        <f t="shared" si="24"/>
        <v>0.58573239744416106</v>
      </c>
      <c r="H45" s="21">
        <f t="shared" si="24"/>
        <v>0.6415398367399584</v>
      </c>
      <c r="I45" s="20">
        <f t="shared" si="24"/>
        <v>1</v>
      </c>
      <c r="J45" s="21">
        <f t="shared" si="24"/>
        <v>0.69306871985135454</v>
      </c>
      <c r="L45" s="11" t="s">
        <v>19</v>
      </c>
      <c r="M45" s="20">
        <f t="shared" ref="M45:R45" si="25">IFERROR(+M43/M44,0)</f>
        <v>0.59943783438113174</v>
      </c>
      <c r="N45" s="20">
        <f t="shared" si="25"/>
        <v>0.64522813003032253</v>
      </c>
      <c r="O45" s="20">
        <f t="shared" si="25"/>
        <v>0.15377598722967581</v>
      </c>
      <c r="P45" s="20">
        <f t="shared" si="25"/>
        <v>0.69549208637256787</v>
      </c>
      <c r="Q45" s="20">
        <f t="shared" si="25"/>
        <v>0.58197749784854025</v>
      </c>
      <c r="R45" s="21">
        <f t="shared" si="25"/>
        <v>0.62959441407241634</v>
      </c>
      <c r="T45" s="11" t="s">
        <v>19</v>
      </c>
      <c r="U45" s="20">
        <f t="shared" ref="U45:Z45" si="26">IFERROR(+U43/U44,0)</f>
        <v>0.78531981360168968</v>
      </c>
      <c r="V45" s="20">
        <f t="shared" si="26"/>
        <v>0.7705983569244893</v>
      </c>
      <c r="W45" s="20">
        <f t="shared" si="26"/>
        <v>3.9399145844582983E-2</v>
      </c>
      <c r="X45" s="20">
        <f t="shared" si="26"/>
        <v>0.72575104365920862</v>
      </c>
      <c r="Y45" s="20">
        <f t="shared" si="26"/>
        <v>0.62966983561590761</v>
      </c>
      <c r="Z45" s="21">
        <f t="shared" si="26"/>
        <v>0.72467818863729117</v>
      </c>
    </row>
    <row r="46" spans="2:27">
      <c r="C46" s="3"/>
      <c r="D46" s="3"/>
      <c r="E46" s="3"/>
      <c r="F46" s="3"/>
      <c r="G46" s="3"/>
      <c r="H46" s="3"/>
      <c r="J46" s="3"/>
    </row>
    <row r="47" spans="2:27">
      <c r="B47" s="5" t="s">
        <v>23</v>
      </c>
    </row>
    <row r="48" spans="2:27">
      <c r="B48" s="5" t="s">
        <v>24</v>
      </c>
      <c r="L48" s="5" t="s">
        <v>2</v>
      </c>
      <c r="M48" s="2"/>
      <c r="N48" s="2"/>
      <c r="O48" s="2"/>
      <c r="P48" s="2"/>
      <c r="Q48" s="2"/>
      <c r="R48" s="2"/>
      <c r="T48" s="7" t="s">
        <v>3</v>
      </c>
      <c r="U48" s="22"/>
      <c r="V48" s="22"/>
      <c r="W48" s="22"/>
      <c r="X48" s="2"/>
      <c r="Y48" s="2"/>
      <c r="Z48" s="2"/>
    </row>
    <row r="49" spans="2:27" ht="27.6">
      <c r="B49" s="11" t="s">
        <v>4</v>
      </c>
      <c r="C49" s="12" t="s">
        <v>5</v>
      </c>
      <c r="D49" s="12" t="s">
        <v>6</v>
      </c>
      <c r="E49" s="12" t="s">
        <v>7</v>
      </c>
      <c r="F49" s="12" t="s">
        <v>8</v>
      </c>
      <c r="G49" s="12" t="s">
        <v>9</v>
      </c>
      <c r="H49" s="13" t="s">
        <v>10</v>
      </c>
      <c r="I49" s="14" t="s">
        <v>11</v>
      </c>
      <c r="J49" s="13" t="s">
        <v>12</v>
      </c>
      <c r="L49" s="11" t="s">
        <v>4</v>
      </c>
      <c r="M49" s="12" t="s">
        <v>5</v>
      </c>
      <c r="N49" s="12" t="s">
        <v>6</v>
      </c>
      <c r="O49" s="12" t="s">
        <v>7</v>
      </c>
      <c r="P49" s="12" t="s">
        <v>8</v>
      </c>
      <c r="Q49" s="12" t="s">
        <v>9</v>
      </c>
      <c r="R49" s="13" t="s">
        <v>10</v>
      </c>
      <c r="T49" s="11" t="s">
        <v>4</v>
      </c>
      <c r="U49" s="12" t="s">
        <v>5</v>
      </c>
      <c r="V49" s="12" t="s">
        <v>6</v>
      </c>
      <c r="W49" s="12" t="s">
        <v>7</v>
      </c>
      <c r="X49" s="12" t="s">
        <v>8</v>
      </c>
      <c r="Y49" s="12" t="s">
        <v>9</v>
      </c>
      <c r="Z49" s="13" t="s">
        <v>10</v>
      </c>
    </row>
    <row r="50" spans="2:27">
      <c r="B50" s="15" t="s">
        <v>13</v>
      </c>
      <c r="C50" s="16">
        <v>1713398</v>
      </c>
      <c r="D50" s="16">
        <v>1045291</v>
      </c>
      <c r="E50" s="16">
        <v>10361</v>
      </c>
      <c r="F50" s="16">
        <v>988707</v>
      </c>
      <c r="G50" s="16">
        <v>1696687.18</v>
      </c>
      <c r="H50" s="17">
        <f t="shared" ref="H50:H55" si="27">SUM(C50:G50)</f>
        <v>5454444.1799999997</v>
      </c>
      <c r="I50" s="16">
        <v>0</v>
      </c>
      <c r="J50" s="17">
        <f t="shared" ref="J50:J55" si="28">H50+I50</f>
        <v>5454444.1799999997</v>
      </c>
      <c r="L50" s="15" t="s">
        <v>13</v>
      </c>
      <c r="M50" s="16">
        <v>1713398</v>
      </c>
      <c r="N50" s="16">
        <v>1045291</v>
      </c>
      <c r="O50" s="16">
        <v>10361</v>
      </c>
      <c r="P50" s="16">
        <v>988707</v>
      </c>
      <c r="Q50" s="16">
        <v>1696687.18</v>
      </c>
      <c r="R50" s="17">
        <f t="shared" ref="R50:R55" si="29">SUM(M50:Q50)</f>
        <v>5454444.1799999997</v>
      </c>
      <c r="T50" s="15" t="s">
        <v>13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7">
        <f t="shared" ref="Z50:Z55" si="30">SUM(U50:Y50)</f>
        <v>0</v>
      </c>
    </row>
    <row r="51" spans="2:27">
      <c r="B51" s="15" t="s">
        <v>14</v>
      </c>
      <c r="C51" s="16">
        <v>134468</v>
      </c>
      <c r="D51" s="16">
        <v>116022.36</v>
      </c>
      <c r="E51" s="16">
        <v>701</v>
      </c>
      <c r="F51" s="16">
        <v>117822</v>
      </c>
      <c r="G51" s="16">
        <v>113069</v>
      </c>
      <c r="H51" s="17">
        <f t="shared" si="27"/>
        <v>482082.36</v>
      </c>
      <c r="I51" s="16">
        <v>0</v>
      </c>
      <c r="J51" s="17">
        <f t="shared" si="28"/>
        <v>482082.36</v>
      </c>
      <c r="L51" s="15" t="s">
        <v>14</v>
      </c>
      <c r="M51" s="16">
        <v>131476</v>
      </c>
      <c r="N51" s="16">
        <v>111862.36</v>
      </c>
      <c r="O51" s="16">
        <v>701</v>
      </c>
      <c r="P51" s="16">
        <v>111672</v>
      </c>
      <c r="Q51" s="16">
        <v>112151</v>
      </c>
      <c r="R51" s="17">
        <f t="shared" si="29"/>
        <v>467862.36</v>
      </c>
      <c r="T51" s="15" t="s">
        <v>14</v>
      </c>
      <c r="U51" s="16">
        <v>2992</v>
      </c>
      <c r="V51" s="16">
        <v>4160</v>
      </c>
      <c r="W51" s="16">
        <v>0</v>
      </c>
      <c r="X51" s="16">
        <v>6150</v>
      </c>
      <c r="Y51" s="16">
        <v>918</v>
      </c>
      <c r="Z51" s="17">
        <f t="shared" si="30"/>
        <v>14220</v>
      </c>
      <c r="AA51" s="18"/>
    </row>
    <row r="52" spans="2:27">
      <c r="B52" s="15" t="s">
        <v>15</v>
      </c>
      <c r="C52" s="16">
        <v>88055</v>
      </c>
      <c r="D52" s="16">
        <v>41403</v>
      </c>
      <c r="E52" s="16">
        <v>0</v>
      </c>
      <c r="F52" s="16">
        <v>74812</v>
      </c>
      <c r="G52" s="16">
        <v>38281</v>
      </c>
      <c r="H52" s="17">
        <f t="shared" si="27"/>
        <v>242551</v>
      </c>
      <c r="I52" s="16">
        <v>0</v>
      </c>
      <c r="J52" s="17">
        <f t="shared" si="28"/>
        <v>242551</v>
      </c>
      <c r="L52" s="15" t="s">
        <v>15</v>
      </c>
      <c r="M52" s="16">
        <v>87527</v>
      </c>
      <c r="N52" s="16">
        <v>40020</v>
      </c>
      <c r="O52" s="16">
        <v>0</v>
      </c>
      <c r="P52" s="16">
        <v>74812</v>
      </c>
      <c r="Q52" s="16">
        <v>38281</v>
      </c>
      <c r="R52" s="17">
        <f t="shared" si="29"/>
        <v>240640</v>
      </c>
      <c r="T52" s="15" t="s">
        <v>15</v>
      </c>
      <c r="U52" s="16">
        <v>528</v>
      </c>
      <c r="V52" s="16">
        <v>1383</v>
      </c>
      <c r="W52" s="16">
        <v>0</v>
      </c>
      <c r="X52" s="16">
        <v>0</v>
      </c>
      <c r="Y52" s="16">
        <v>0</v>
      </c>
      <c r="Z52" s="17">
        <f t="shared" si="30"/>
        <v>1911</v>
      </c>
      <c r="AA52" s="18"/>
    </row>
    <row r="53" spans="2:27">
      <c r="B53" s="15" t="s">
        <v>16</v>
      </c>
      <c r="C53" s="16">
        <v>16247</v>
      </c>
      <c r="D53" s="16">
        <v>9243</v>
      </c>
      <c r="E53" s="16">
        <v>0</v>
      </c>
      <c r="F53" s="16">
        <v>12291</v>
      </c>
      <c r="G53" s="16">
        <v>4586</v>
      </c>
      <c r="H53" s="17">
        <f t="shared" si="27"/>
        <v>42367</v>
      </c>
      <c r="I53" s="16">
        <v>0</v>
      </c>
      <c r="J53" s="17">
        <f t="shared" si="28"/>
        <v>42367</v>
      </c>
      <c r="L53" s="15" t="s">
        <v>16</v>
      </c>
      <c r="M53" s="16">
        <v>16247</v>
      </c>
      <c r="N53" s="16">
        <v>9243</v>
      </c>
      <c r="O53" s="16">
        <v>0</v>
      </c>
      <c r="P53" s="16">
        <v>9067</v>
      </c>
      <c r="Q53" s="16">
        <v>4586</v>
      </c>
      <c r="R53" s="17">
        <f t="shared" si="29"/>
        <v>39143</v>
      </c>
      <c r="T53" s="15" t="s">
        <v>16</v>
      </c>
      <c r="U53" s="16">
        <v>0</v>
      </c>
      <c r="V53" s="16">
        <v>0</v>
      </c>
      <c r="W53" s="16">
        <v>0</v>
      </c>
      <c r="X53" s="16">
        <v>3224</v>
      </c>
      <c r="Y53" s="16">
        <v>0</v>
      </c>
      <c r="Z53" s="17">
        <f t="shared" si="30"/>
        <v>3224</v>
      </c>
      <c r="AA53" s="18"/>
    </row>
    <row r="54" spans="2:27">
      <c r="B54" s="15" t="s">
        <v>17</v>
      </c>
      <c r="C54" s="16">
        <v>7998.26</v>
      </c>
      <c r="D54" s="16">
        <v>8117</v>
      </c>
      <c r="E54" s="16">
        <v>0</v>
      </c>
      <c r="F54" s="16">
        <v>15084.74</v>
      </c>
      <c r="G54" s="16">
        <v>4788</v>
      </c>
      <c r="H54" s="17">
        <f t="shared" si="27"/>
        <v>35988</v>
      </c>
      <c r="I54" s="16">
        <v>47442</v>
      </c>
      <c r="J54" s="17">
        <f t="shared" si="28"/>
        <v>83430</v>
      </c>
      <c r="L54" s="15" t="s">
        <v>17</v>
      </c>
      <c r="M54" s="16">
        <v>7998.26</v>
      </c>
      <c r="N54" s="16">
        <v>8117</v>
      </c>
      <c r="O54" s="16">
        <v>0</v>
      </c>
      <c r="P54" s="16">
        <v>15084.74</v>
      </c>
      <c r="Q54" s="16">
        <v>4788</v>
      </c>
      <c r="R54" s="17">
        <f t="shared" si="29"/>
        <v>35988</v>
      </c>
      <c r="T54" s="15" t="s">
        <v>17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7">
        <f t="shared" si="30"/>
        <v>0</v>
      </c>
      <c r="AA54" s="18"/>
    </row>
    <row r="55" spans="2:27">
      <c r="B55" s="15" t="s">
        <v>25</v>
      </c>
      <c r="C55" s="16">
        <v>89399</v>
      </c>
      <c r="D55" s="16">
        <v>0</v>
      </c>
      <c r="E55" s="16">
        <v>0</v>
      </c>
      <c r="F55" s="16">
        <v>40110.99</v>
      </c>
      <c r="G55" s="16">
        <v>1318</v>
      </c>
      <c r="H55" s="17">
        <f t="shared" si="27"/>
        <v>130827.98999999999</v>
      </c>
      <c r="I55" s="16">
        <v>0</v>
      </c>
      <c r="J55" s="17">
        <f t="shared" si="28"/>
        <v>130827.98999999999</v>
      </c>
      <c r="L55" s="15" t="s">
        <v>25</v>
      </c>
      <c r="M55" s="16">
        <v>83026</v>
      </c>
      <c r="N55" s="16">
        <v>0</v>
      </c>
      <c r="O55" s="16">
        <v>0</v>
      </c>
      <c r="P55" s="16">
        <v>40110.99</v>
      </c>
      <c r="Q55" s="16">
        <v>1318</v>
      </c>
      <c r="R55" s="17">
        <f t="shared" si="29"/>
        <v>124454.98999999999</v>
      </c>
      <c r="T55" s="15" t="s">
        <v>25</v>
      </c>
      <c r="U55" s="16">
        <v>6373</v>
      </c>
      <c r="V55" s="16">
        <v>0</v>
      </c>
      <c r="W55" s="16">
        <v>0</v>
      </c>
      <c r="X55" s="16">
        <v>0</v>
      </c>
      <c r="Y55" s="16">
        <v>0</v>
      </c>
      <c r="Z55" s="17">
        <f t="shared" si="30"/>
        <v>6373</v>
      </c>
      <c r="AA55" s="18"/>
    </row>
    <row r="56" spans="2:27">
      <c r="B56" s="11" t="s">
        <v>18</v>
      </c>
      <c r="C56" s="19">
        <f t="shared" ref="C56:J56" si="31">SUM(C50:C55)</f>
        <v>2049565.26</v>
      </c>
      <c r="D56" s="19">
        <f>SUM(D50:D55)</f>
        <v>1220076.3600000001</v>
      </c>
      <c r="E56" s="19">
        <f>SUM(E50:E55)</f>
        <v>11062</v>
      </c>
      <c r="F56" s="19">
        <f t="shared" si="31"/>
        <v>1248827.73</v>
      </c>
      <c r="G56" s="19">
        <f t="shared" si="31"/>
        <v>1858729.18</v>
      </c>
      <c r="H56" s="17">
        <f t="shared" si="31"/>
        <v>6388260.5300000003</v>
      </c>
      <c r="I56" s="19">
        <f t="shared" si="31"/>
        <v>47442</v>
      </c>
      <c r="J56" s="17">
        <f t="shared" si="31"/>
        <v>6435702.5300000003</v>
      </c>
      <c r="L56" s="11" t="s">
        <v>18</v>
      </c>
      <c r="M56" s="19">
        <f t="shared" ref="M56:R56" si="32">SUM(M50:M55)</f>
        <v>2039672.26</v>
      </c>
      <c r="N56" s="19">
        <f t="shared" si="32"/>
        <v>1214533.3600000001</v>
      </c>
      <c r="O56" s="19">
        <f t="shared" si="32"/>
        <v>11062</v>
      </c>
      <c r="P56" s="19">
        <f t="shared" si="32"/>
        <v>1239453.73</v>
      </c>
      <c r="Q56" s="19">
        <f t="shared" si="32"/>
        <v>1857811.18</v>
      </c>
      <c r="R56" s="17">
        <f t="shared" si="32"/>
        <v>6362532.5300000003</v>
      </c>
      <c r="T56" s="11" t="s">
        <v>18</v>
      </c>
      <c r="U56" s="19">
        <f t="shared" ref="U56:Z56" si="33">SUM(U50:U55)</f>
        <v>9893</v>
      </c>
      <c r="V56" s="19">
        <f t="shared" si="33"/>
        <v>5543</v>
      </c>
      <c r="W56" s="19">
        <f t="shared" si="33"/>
        <v>0</v>
      </c>
      <c r="X56" s="19">
        <f t="shared" si="33"/>
        <v>9374</v>
      </c>
      <c r="Y56" s="19">
        <f t="shared" si="33"/>
        <v>918</v>
      </c>
      <c r="Z56" s="17">
        <f t="shared" si="33"/>
        <v>25728</v>
      </c>
      <c r="AA56" s="18"/>
    </row>
    <row r="57" spans="2:27">
      <c r="B57" s="11"/>
      <c r="C57" s="19"/>
      <c r="D57" s="19"/>
      <c r="E57" s="19"/>
      <c r="F57" s="19"/>
      <c r="G57" s="19"/>
      <c r="H57" s="17"/>
      <c r="I57" s="19"/>
      <c r="J57" s="17"/>
      <c r="L57" s="11"/>
      <c r="M57" s="19"/>
      <c r="N57" s="19"/>
      <c r="O57" s="19"/>
      <c r="P57" s="19"/>
      <c r="Q57" s="19"/>
      <c r="R57" s="17"/>
      <c r="T57" s="11"/>
      <c r="U57" s="19"/>
      <c r="V57" s="19"/>
      <c r="W57" s="19"/>
      <c r="X57" s="19"/>
      <c r="Y57" s="19"/>
      <c r="Z57" s="17"/>
      <c r="AA57" s="18"/>
    </row>
    <row r="59" spans="2:27">
      <c r="B59" s="5" t="str">
        <f>CONCATENATE("Collections - ",TEXT(B4,"DD-MMM"))</f>
        <v>Collections - 01-Apr</v>
      </c>
    </row>
    <row r="60" spans="2:27">
      <c r="B60" s="5" t="s">
        <v>24</v>
      </c>
      <c r="L60" s="5" t="s">
        <v>2</v>
      </c>
      <c r="M60" s="2"/>
      <c r="N60" s="2"/>
      <c r="O60" s="2"/>
      <c r="P60" s="2"/>
      <c r="Q60" s="2"/>
      <c r="R60" s="2"/>
      <c r="T60" s="7" t="s">
        <v>3</v>
      </c>
      <c r="U60" s="22"/>
      <c r="V60" s="22"/>
      <c r="W60" s="22"/>
      <c r="X60" s="2"/>
      <c r="Y60" s="2"/>
      <c r="Z60" s="2"/>
    </row>
    <row r="61" spans="2:27" ht="27.6">
      <c r="B61" s="11" t="s">
        <v>4</v>
      </c>
      <c r="C61" s="12" t="s">
        <v>5</v>
      </c>
      <c r="D61" s="12" t="s">
        <v>6</v>
      </c>
      <c r="E61" s="12" t="s">
        <v>7</v>
      </c>
      <c r="F61" s="12" t="s">
        <v>8</v>
      </c>
      <c r="G61" s="12" t="s">
        <v>9</v>
      </c>
      <c r="H61" s="13" t="s">
        <v>10</v>
      </c>
      <c r="I61" s="14" t="s">
        <v>11</v>
      </c>
      <c r="J61" s="13" t="s">
        <v>12</v>
      </c>
      <c r="L61" s="11" t="s">
        <v>4</v>
      </c>
      <c r="M61" s="12" t="s">
        <v>5</v>
      </c>
      <c r="N61" s="12" t="s">
        <v>6</v>
      </c>
      <c r="O61" s="12" t="s">
        <v>7</v>
      </c>
      <c r="P61" s="12" t="s">
        <v>8</v>
      </c>
      <c r="Q61" s="12" t="s">
        <v>9</v>
      </c>
      <c r="R61" s="13" t="s">
        <v>10</v>
      </c>
      <c r="T61" s="11" t="s">
        <v>4</v>
      </c>
      <c r="U61" s="12" t="s">
        <v>5</v>
      </c>
      <c r="V61" s="12" t="s">
        <v>6</v>
      </c>
      <c r="W61" s="12" t="s">
        <v>7</v>
      </c>
      <c r="X61" s="12" t="s">
        <v>8</v>
      </c>
      <c r="Y61" s="12" t="s">
        <v>9</v>
      </c>
      <c r="Z61" s="13" t="s">
        <v>10</v>
      </c>
    </row>
    <row r="62" spans="2:27">
      <c r="B62" s="15" t="s">
        <v>13</v>
      </c>
      <c r="C62" s="16">
        <v>1690099</v>
      </c>
      <c r="D62" s="16">
        <v>1031446</v>
      </c>
      <c r="E62" s="16">
        <v>10361</v>
      </c>
      <c r="F62" s="16">
        <v>972509</v>
      </c>
      <c r="G62" s="16">
        <v>1666465.18</v>
      </c>
      <c r="H62" s="17">
        <f t="shared" ref="H62:H67" si="34">SUM(C62:G62)</f>
        <v>5370880.1799999997</v>
      </c>
      <c r="I62" s="16">
        <v>0</v>
      </c>
      <c r="J62" s="17">
        <f t="shared" ref="J62:J67" si="35">H62+I62</f>
        <v>5370880.1799999997</v>
      </c>
      <c r="L62" s="15" t="s">
        <v>13</v>
      </c>
      <c r="M62" s="16">
        <v>1690099</v>
      </c>
      <c r="N62" s="16">
        <v>1031446</v>
      </c>
      <c r="O62" s="16">
        <v>10361</v>
      </c>
      <c r="P62" s="16">
        <v>972509</v>
      </c>
      <c r="Q62" s="16">
        <v>1666465.18</v>
      </c>
      <c r="R62" s="17">
        <f t="shared" ref="R62:R67" si="36">SUM(M62:Q62)</f>
        <v>5370880.1799999997</v>
      </c>
      <c r="T62" s="15" t="s">
        <v>13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7">
        <f t="shared" ref="Z62:Z67" si="37">SUM(U62:Y62)</f>
        <v>0</v>
      </c>
    </row>
    <row r="63" spans="2:27">
      <c r="B63" s="15" t="s">
        <v>14</v>
      </c>
      <c r="C63" s="16">
        <v>131318</v>
      </c>
      <c r="D63" s="16">
        <v>115122.36</v>
      </c>
      <c r="E63" s="16">
        <v>701</v>
      </c>
      <c r="F63" s="16">
        <v>115179</v>
      </c>
      <c r="G63" s="16">
        <v>113069</v>
      </c>
      <c r="H63" s="17">
        <f t="shared" si="34"/>
        <v>475389.36</v>
      </c>
      <c r="I63" s="16">
        <v>0</v>
      </c>
      <c r="J63" s="17">
        <f t="shared" si="35"/>
        <v>475389.36</v>
      </c>
      <c r="L63" s="15" t="s">
        <v>14</v>
      </c>
      <c r="M63" s="16">
        <v>128326</v>
      </c>
      <c r="N63" s="16">
        <v>110962.36</v>
      </c>
      <c r="O63" s="16">
        <v>701</v>
      </c>
      <c r="P63" s="16">
        <v>109029</v>
      </c>
      <c r="Q63" s="16">
        <v>112151</v>
      </c>
      <c r="R63" s="17">
        <f t="shared" si="36"/>
        <v>461169.36</v>
      </c>
      <c r="T63" s="15" t="s">
        <v>14</v>
      </c>
      <c r="U63" s="16">
        <v>2992</v>
      </c>
      <c r="V63" s="16">
        <v>4160</v>
      </c>
      <c r="W63" s="16">
        <v>0</v>
      </c>
      <c r="X63" s="16">
        <v>6150</v>
      </c>
      <c r="Y63" s="16">
        <v>918</v>
      </c>
      <c r="Z63" s="17">
        <f t="shared" si="37"/>
        <v>14220</v>
      </c>
      <c r="AA63" s="18"/>
    </row>
    <row r="64" spans="2:27">
      <c r="B64" s="15" t="s">
        <v>15</v>
      </c>
      <c r="C64" s="16">
        <v>87635</v>
      </c>
      <c r="D64" s="16">
        <v>41403</v>
      </c>
      <c r="E64" s="16">
        <v>0</v>
      </c>
      <c r="F64" s="16">
        <v>74384</v>
      </c>
      <c r="G64" s="16">
        <v>37563</v>
      </c>
      <c r="H64" s="17">
        <f t="shared" si="34"/>
        <v>240985</v>
      </c>
      <c r="I64" s="16">
        <v>0</v>
      </c>
      <c r="J64" s="17">
        <f t="shared" si="35"/>
        <v>240985</v>
      </c>
      <c r="L64" s="15" t="s">
        <v>15</v>
      </c>
      <c r="M64" s="16">
        <v>87107</v>
      </c>
      <c r="N64" s="16">
        <v>40020</v>
      </c>
      <c r="O64" s="16">
        <v>0</v>
      </c>
      <c r="P64" s="16">
        <v>74384</v>
      </c>
      <c r="Q64" s="16">
        <v>37563</v>
      </c>
      <c r="R64" s="17">
        <f t="shared" si="36"/>
        <v>239074</v>
      </c>
      <c r="T64" s="15" t="s">
        <v>15</v>
      </c>
      <c r="U64" s="16">
        <v>528</v>
      </c>
      <c r="V64" s="16">
        <v>1383</v>
      </c>
      <c r="W64" s="16">
        <v>0</v>
      </c>
      <c r="X64" s="16">
        <v>0</v>
      </c>
      <c r="Y64" s="16">
        <v>0</v>
      </c>
      <c r="Z64" s="17">
        <f t="shared" si="37"/>
        <v>1911</v>
      </c>
      <c r="AA64" s="18"/>
    </row>
    <row r="65" spans="2:42">
      <c r="B65" s="15" t="s">
        <v>16</v>
      </c>
      <c r="C65" s="16">
        <v>16247</v>
      </c>
      <c r="D65" s="16">
        <v>9243</v>
      </c>
      <c r="E65" s="16">
        <v>0</v>
      </c>
      <c r="F65" s="16">
        <v>12291</v>
      </c>
      <c r="G65" s="16">
        <v>4586</v>
      </c>
      <c r="H65" s="17">
        <f t="shared" si="34"/>
        <v>42367</v>
      </c>
      <c r="I65" s="16">
        <v>0</v>
      </c>
      <c r="J65" s="17">
        <f t="shared" si="35"/>
        <v>42367</v>
      </c>
      <c r="L65" s="15" t="s">
        <v>16</v>
      </c>
      <c r="M65" s="16">
        <v>16247</v>
      </c>
      <c r="N65" s="16">
        <v>9243</v>
      </c>
      <c r="O65" s="16">
        <v>0</v>
      </c>
      <c r="P65" s="16">
        <v>9067</v>
      </c>
      <c r="Q65" s="16">
        <v>4586</v>
      </c>
      <c r="R65" s="17">
        <f t="shared" si="36"/>
        <v>39143</v>
      </c>
      <c r="T65" s="15" t="s">
        <v>16</v>
      </c>
      <c r="U65" s="16">
        <v>0</v>
      </c>
      <c r="V65" s="16">
        <v>0</v>
      </c>
      <c r="W65" s="16">
        <v>0</v>
      </c>
      <c r="X65" s="16">
        <v>3224</v>
      </c>
      <c r="Y65" s="16">
        <v>0</v>
      </c>
      <c r="Z65" s="17">
        <f t="shared" si="37"/>
        <v>3224</v>
      </c>
      <c r="AA65" s="18"/>
    </row>
    <row r="66" spans="2:42">
      <c r="B66" s="15" t="s">
        <v>17</v>
      </c>
      <c r="C66" s="16">
        <v>7998.26</v>
      </c>
      <c r="D66" s="16">
        <v>8117</v>
      </c>
      <c r="E66" s="16">
        <v>0</v>
      </c>
      <c r="F66" s="16">
        <v>15084.74</v>
      </c>
      <c r="G66" s="16">
        <v>4788</v>
      </c>
      <c r="H66" s="17">
        <f t="shared" si="34"/>
        <v>35988</v>
      </c>
      <c r="I66" s="16">
        <v>47442</v>
      </c>
      <c r="J66" s="17">
        <f t="shared" si="35"/>
        <v>83430</v>
      </c>
      <c r="L66" s="15" t="s">
        <v>17</v>
      </c>
      <c r="M66" s="16">
        <v>7998.26</v>
      </c>
      <c r="N66" s="16">
        <v>8117</v>
      </c>
      <c r="O66" s="16">
        <v>0</v>
      </c>
      <c r="P66" s="16">
        <v>15084.74</v>
      </c>
      <c r="Q66" s="16">
        <v>4788</v>
      </c>
      <c r="R66" s="17">
        <f t="shared" si="36"/>
        <v>35988</v>
      </c>
      <c r="T66" s="15" t="s">
        <v>17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7">
        <f t="shared" si="37"/>
        <v>0</v>
      </c>
      <c r="AA66" s="18"/>
    </row>
    <row r="67" spans="2:42">
      <c r="B67" s="15" t="s">
        <v>25</v>
      </c>
      <c r="C67" s="16">
        <v>89399</v>
      </c>
      <c r="D67" s="16">
        <v>0</v>
      </c>
      <c r="E67" s="16">
        <v>0</v>
      </c>
      <c r="F67" s="16">
        <v>40110.99</v>
      </c>
      <c r="G67" s="16">
        <v>1318</v>
      </c>
      <c r="H67" s="17">
        <f t="shared" si="34"/>
        <v>130827.98999999999</v>
      </c>
      <c r="I67" s="16">
        <v>0</v>
      </c>
      <c r="J67" s="17">
        <f t="shared" si="35"/>
        <v>130827.98999999999</v>
      </c>
      <c r="L67" s="15" t="s">
        <v>25</v>
      </c>
      <c r="M67" s="16">
        <v>83026</v>
      </c>
      <c r="N67" s="16">
        <v>0</v>
      </c>
      <c r="O67" s="16">
        <v>0</v>
      </c>
      <c r="P67" s="16">
        <v>40110.99</v>
      </c>
      <c r="Q67" s="16">
        <v>1318</v>
      </c>
      <c r="R67" s="17">
        <f t="shared" si="36"/>
        <v>124454.98999999999</v>
      </c>
      <c r="T67" s="15" t="s">
        <v>25</v>
      </c>
      <c r="U67" s="16">
        <v>6373</v>
      </c>
      <c r="V67" s="16">
        <v>0</v>
      </c>
      <c r="W67" s="16">
        <v>0</v>
      </c>
      <c r="X67" s="16">
        <v>0</v>
      </c>
      <c r="Y67" s="16">
        <v>0</v>
      </c>
      <c r="Z67" s="17">
        <f t="shared" si="37"/>
        <v>6373</v>
      </c>
      <c r="AA67" s="18"/>
    </row>
    <row r="68" spans="2:42">
      <c r="B68" s="11" t="s">
        <v>18</v>
      </c>
      <c r="C68" s="19">
        <f t="shared" ref="C68:J68" si="38">SUM(C62:C67)</f>
        <v>2022696.26</v>
      </c>
      <c r="D68" s="19">
        <f>SUM(D62:D67)</f>
        <v>1205331.3600000001</v>
      </c>
      <c r="E68" s="19">
        <f>SUM(E62:E67)</f>
        <v>11062</v>
      </c>
      <c r="F68" s="19">
        <f t="shared" si="38"/>
        <v>1229558.73</v>
      </c>
      <c r="G68" s="19">
        <f t="shared" si="38"/>
        <v>1827789.18</v>
      </c>
      <c r="H68" s="17">
        <f t="shared" si="38"/>
        <v>6296437.5300000003</v>
      </c>
      <c r="I68" s="19">
        <f t="shared" si="38"/>
        <v>47442</v>
      </c>
      <c r="J68" s="17">
        <f t="shared" si="38"/>
        <v>6343879.5300000003</v>
      </c>
      <c r="L68" s="11" t="s">
        <v>18</v>
      </c>
      <c r="M68" s="19">
        <f t="shared" ref="M68:R68" si="39">SUM(M62:M67)</f>
        <v>2012803.26</v>
      </c>
      <c r="N68" s="19">
        <f t="shared" si="39"/>
        <v>1199788.3600000001</v>
      </c>
      <c r="O68" s="19">
        <f t="shared" si="39"/>
        <v>11062</v>
      </c>
      <c r="P68" s="19">
        <f t="shared" si="39"/>
        <v>1220184.73</v>
      </c>
      <c r="Q68" s="19">
        <f t="shared" si="39"/>
        <v>1826871.18</v>
      </c>
      <c r="R68" s="17">
        <f t="shared" si="39"/>
        <v>6270709.5300000003</v>
      </c>
      <c r="T68" s="11" t="s">
        <v>18</v>
      </c>
      <c r="U68" s="19">
        <f t="shared" ref="U68:Z68" si="40">SUM(U62:U67)</f>
        <v>9893</v>
      </c>
      <c r="V68" s="19">
        <f t="shared" si="40"/>
        <v>5543</v>
      </c>
      <c r="W68" s="19">
        <f t="shared" si="40"/>
        <v>0</v>
      </c>
      <c r="X68" s="19">
        <f t="shared" si="40"/>
        <v>9374</v>
      </c>
      <c r="Y68" s="19">
        <f t="shared" si="40"/>
        <v>918</v>
      </c>
      <c r="Z68" s="17">
        <f t="shared" si="40"/>
        <v>25728</v>
      </c>
      <c r="AA68" s="18"/>
    </row>
    <row r="69" spans="2:42">
      <c r="B69" s="11"/>
      <c r="C69" s="19"/>
      <c r="D69" s="19"/>
      <c r="E69" s="19"/>
      <c r="F69" s="19"/>
      <c r="G69" s="19"/>
      <c r="H69" s="17"/>
      <c r="I69" s="19"/>
      <c r="J69" s="17"/>
      <c r="L69" s="11"/>
      <c r="M69" s="19"/>
      <c r="N69" s="19"/>
      <c r="O69" s="19"/>
      <c r="P69" s="19"/>
      <c r="Q69" s="19"/>
      <c r="R69" s="17"/>
      <c r="T69" s="11"/>
      <c r="U69" s="19"/>
      <c r="V69" s="19"/>
      <c r="W69" s="19"/>
      <c r="X69" s="19"/>
      <c r="Y69" s="19"/>
      <c r="Z69" s="17"/>
      <c r="AA69" s="18"/>
    </row>
    <row r="71" spans="2:42">
      <c r="B71" s="5" t="s">
        <v>26</v>
      </c>
      <c r="I71" s="2"/>
    </row>
    <row r="72" spans="2:42">
      <c r="B72" s="5" t="s">
        <v>24</v>
      </c>
      <c r="L72" s="5" t="s">
        <v>2</v>
      </c>
      <c r="M72" s="2"/>
      <c r="N72" s="2"/>
      <c r="O72" s="2"/>
      <c r="P72" s="2"/>
      <c r="Q72" s="2"/>
      <c r="R72" s="2"/>
      <c r="T72" s="7" t="s">
        <v>3</v>
      </c>
    </row>
    <row r="73" spans="2:42" ht="27.6">
      <c r="B73" s="11" t="s">
        <v>4</v>
      </c>
      <c r="C73" s="12" t="s">
        <v>5</v>
      </c>
      <c r="D73" s="12" t="s">
        <v>6</v>
      </c>
      <c r="E73" s="12" t="s">
        <v>7</v>
      </c>
      <c r="F73" s="12" t="s">
        <v>8</v>
      </c>
      <c r="G73" s="12" t="s">
        <v>9</v>
      </c>
      <c r="H73" s="13" t="s">
        <v>10</v>
      </c>
      <c r="I73" s="14" t="s">
        <v>11</v>
      </c>
      <c r="J73" s="13" t="s">
        <v>12</v>
      </c>
      <c r="L73" s="11" t="s">
        <v>4</v>
      </c>
      <c r="M73" s="12" t="s">
        <v>5</v>
      </c>
      <c r="N73" s="12" t="s">
        <v>6</v>
      </c>
      <c r="O73" s="12" t="s">
        <v>7</v>
      </c>
      <c r="P73" s="12" t="s">
        <v>8</v>
      </c>
      <c r="Q73" s="12" t="s">
        <v>9</v>
      </c>
      <c r="R73" s="13" t="s">
        <v>10</v>
      </c>
      <c r="T73" s="11" t="s">
        <v>4</v>
      </c>
      <c r="U73" s="12" t="s">
        <v>5</v>
      </c>
      <c r="V73" s="12" t="s">
        <v>6</v>
      </c>
      <c r="W73" s="12" t="s">
        <v>7</v>
      </c>
      <c r="X73" s="12" t="s">
        <v>8</v>
      </c>
      <c r="Y73" s="12" t="s">
        <v>9</v>
      </c>
      <c r="Z73" s="13" t="s">
        <v>10</v>
      </c>
    </row>
    <row r="74" spans="2:42">
      <c r="B74" s="15" t="s">
        <v>13</v>
      </c>
      <c r="C74" s="23">
        <v>34756</v>
      </c>
      <c r="D74" s="23">
        <v>15188</v>
      </c>
      <c r="E74" s="23">
        <v>359</v>
      </c>
      <c r="F74" s="23">
        <v>16166</v>
      </c>
      <c r="G74" s="23">
        <v>18686</v>
      </c>
      <c r="H74" s="24">
        <f>SUM(C74:G74)</f>
        <v>85155</v>
      </c>
      <c r="I74" s="23">
        <v>2</v>
      </c>
      <c r="J74" s="24">
        <f>H74+I74</f>
        <v>85157</v>
      </c>
      <c r="L74" s="15" t="s">
        <v>13</v>
      </c>
      <c r="M74" s="23">
        <v>34755</v>
      </c>
      <c r="N74" s="23">
        <v>15187</v>
      </c>
      <c r="O74" s="23">
        <v>359</v>
      </c>
      <c r="P74" s="23">
        <v>16166</v>
      </c>
      <c r="Q74" s="23">
        <v>18685</v>
      </c>
      <c r="R74" s="24">
        <f>SUM(M74:Q74)</f>
        <v>85152</v>
      </c>
      <c r="T74" s="15" t="s">
        <v>13</v>
      </c>
      <c r="U74" s="23">
        <v>1</v>
      </c>
      <c r="V74" s="23">
        <v>1</v>
      </c>
      <c r="W74" s="23">
        <v>0</v>
      </c>
      <c r="X74" s="23">
        <v>0</v>
      </c>
      <c r="Y74" s="23">
        <v>1</v>
      </c>
      <c r="Z74" s="24">
        <f>SUM(U74:Y74)</f>
        <v>3</v>
      </c>
    </row>
    <row r="75" spans="2:42">
      <c r="B75" s="15" t="s">
        <v>14</v>
      </c>
      <c r="C75" s="23">
        <v>11542</v>
      </c>
      <c r="D75" s="23">
        <v>6398</v>
      </c>
      <c r="E75" s="23">
        <v>210</v>
      </c>
      <c r="F75" s="23">
        <v>6997</v>
      </c>
      <c r="G75" s="23">
        <v>6680</v>
      </c>
      <c r="H75" s="24">
        <f>SUM(C75:G75)</f>
        <v>31827</v>
      </c>
      <c r="I75" s="23">
        <v>0</v>
      </c>
      <c r="J75" s="24">
        <f>H75+I75</f>
        <v>31827</v>
      </c>
      <c r="L75" s="15" t="s">
        <v>14</v>
      </c>
      <c r="M75" s="23">
        <v>11035</v>
      </c>
      <c r="N75" s="23">
        <v>5587</v>
      </c>
      <c r="O75" s="23">
        <v>37</v>
      </c>
      <c r="P75" s="23">
        <v>5969</v>
      </c>
      <c r="Q75" s="23">
        <v>6109</v>
      </c>
      <c r="R75" s="24">
        <f>SUM(M75:Q75)</f>
        <v>28737</v>
      </c>
      <c r="T75" s="15" t="s">
        <v>14</v>
      </c>
      <c r="U75" s="23">
        <v>507</v>
      </c>
      <c r="V75" s="23">
        <v>811</v>
      </c>
      <c r="W75" s="23">
        <v>173</v>
      </c>
      <c r="X75" s="23">
        <v>1028</v>
      </c>
      <c r="Y75" s="23">
        <v>571</v>
      </c>
      <c r="Z75" s="24">
        <f>SUM(U75:Y75)</f>
        <v>3090</v>
      </c>
      <c r="AA75" s="18"/>
    </row>
    <row r="76" spans="2:42">
      <c r="B76" s="15" t="s">
        <v>15</v>
      </c>
      <c r="C76" s="23">
        <v>3064</v>
      </c>
      <c r="D76" s="23">
        <v>1830</v>
      </c>
      <c r="E76" s="23">
        <v>19</v>
      </c>
      <c r="F76" s="23">
        <v>2052</v>
      </c>
      <c r="G76" s="23">
        <v>1510</v>
      </c>
      <c r="H76" s="24">
        <f>SUM(C76:G76)</f>
        <v>8475</v>
      </c>
      <c r="I76" s="23">
        <v>0</v>
      </c>
      <c r="J76" s="24">
        <f>H76+I76</f>
        <v>8475</v>
      </c>
      <c r="L76" s="15" t="s">
        <v>15</v>
      </c>
      <c r="M76" s="23">
        <v>2974</v>
      </c>
      <c r="N76" s="23">
        <v>1665</v>
      </c>
      <c r="O76" s="23">
        <v>3</v>
      </c>
      <c r="P76" s="23">
        <v>1854</v>
      </c>
      <c r="Q76" s="23">
        <v>1440</v>
      </c>
      <c r="R76" s="24">
        <f>SUM(M76:Q76)</f>
        <v>7936</v>
      </c>
      <c r="T76" s="15" t="s">
        <v>15</v>
      </c>
      <c r="U76" s="23">
        <v>90</v>
      </c>
      <c r="V76" s="23">
        <v>165</v>
      </c>
      <c r="W76" s="23">
        <v>16</v>
      </c>
      <c r="X76" s="23">
        <v>198</v>
      </c>
      <c r="Y76" s="23">
        <v>70</v>
      </c>
      <c r="Z76" s="24">
        <f>SUM(U76:Y76)</f>
        <v>539</v>
      </c>
      <c r="AA76" s="18"/>
    </row>
    <row r="77" spans="2:42">
      <c r="B77" s="15" t="s">
        <v>16</v>
      </c>
      <c r="C77" s="23">
        <v>1526</v>
      </c>
      <c r="D77" s="23">
        <v>938</v>
      </c>
      <c r="E77" s="23">
        <v>9</v>
      </c>
      <c r="F77" s="23">
        <v>1070</v>
      </c>
      <c r="G77" s="23">
        <v>749</v>
      </c>
      <c r="H77" s="24">
        <f>SUM(C77:G77)</f>
        <v>4292</v>
      </c>
      <c r="I77" s="23">
        <v>0</v>
      </c>
      <c r="J77" s="24">
        <f>H77+I77</f>
        <v>4292</v>
      </c>
      <c r="L77" s="15" t="s">
        <v>16</v>
      </c>
      <c r="M77" s="23">
        <v>1476</v>
      </c>
      <c r="N77" s="23">
        <v>867</v>
      </c>
      <c r="O77" s="23">
        <v>4</v>
      </c>
      <c r="P77" s="23">
        <v>956</v>
      </c>
      <c r="Q77" s="23">
        <v>717</v>
      </c>
      <c r="R77" s="24">
        <f>SUM(M77:Q77)</f>
        <v>4020</v>
      </c>
      <c r="T77" s="15" t="s">
        <v>16</v>
      </c>
      <c r="U77" s="23">
        <v>50</v>
      </c>
      <c r="V77" s="23">
        <v>71</v>
      </c>
      <c r="W77" s="23">
        <v>5</v>
      </c>
      <c r="X77" s="23">
        <v>114</v>
      </c>
      <c r="Y77" s="23">
        <v>32</v>
      </c>
      <c r="Z77" s="24">
        <f>SUM(U77:Y77)</f>
        <v>272</v>
      </c>
      <c r="AA77" s="18"/>
    </row>
    <row r="78" spans="2:42">
      <c r="B78" s="15" t="s">
        <v>17</v>
      </c>
      <c r="C78" s="23">
        <v>3698</v>
      </c>
      <c r="D78" s="23">
        <v>2456</v>
      </c>
      <c r="E78" s="23">
        <v>6</v>
      </c>
      <c r="F78" s="23">
        <v>3008</v>
      </c>
      <c r="G78" s="23">
        <v>1624</v>
      </c>
      <c r="H78" s="24">
        <f>SUM(C78:G78)</f>
        <v>10792</v>
      </c>
      <c r="I78" s="23">
        <v>21</v>
      </c>
      <c r="J78" s="24">
        <f>H78+I78</f>
        <v>10813</v>
      </c>
      <c r="L78" s="15" t="s">
        <v>17</v>
      </c>
      <c r="M78" s="23">
        <v>3453</v>
      </c>
      <c r="N78" s="23">
        <v>2091</v>
      </c>
      <c r="O78" s="23">
        <v>2</v>
      </c>
      <c r="P78" s="23">
        <v>2655</v>
      </c>
      <c r="Q78" s="23">
        <v>1500</v>
      </c>
      <c r="R78" s="24">
        <f>SUM(M78:Q78)</f>
        <v>9701</v>
      </c>
      <c r="T78" s="15" t="s">
        <v>17</v>
      </c>
      <c r="U78" s="23">
        <v>245</v>
      </c>
      <c r="V78" s="23">
        <v>365</v>
      </c>
      <c r="W78" s="23">
        <v>4</v>
      </c>
      <c r="X78" s="23">
        <v>353</v>
      </c>
      <c r="Y78" s="23">
        <v>124</v>
      </c>
      <c r="Z78" s="24">
        <f>SUM(U78:Y78)</f>
        <v>1091</v>
      </c>
      <c r="AA78" s="18"/>
    </row>
    <row r="79" spans="2:42" s="27" customFormat="1">
      <c r="B79" s="11" t="s">
        <v>18</v>
      </c>
      <c r="C79" s="25">
        <f t="shared" ref="C79:J79" si="41">SUM(C74:C78)</f>
        <v>54586</v>
      </c>
      <c r="D79" s="25">
        <f>SUM(D74:D78)</f>
        <v>26810</v>
      </c>
      <c r="E79" s="25">
        <f>SUM(E74:E78)</f>
        <v>603</v>
      </c>
      <c r="F79" s="25">
        <f t="shared" si="41"/>
        <v>29293</v>
      </c>
      <c r="G79" s="25">
        <f t="shared" si="41"/>
        <v>29249</v>
      </c>
      <c r="H79" s="24">
        <f t="shared" si="41"/>
        <v>140541</v>
      </c>
      <c r="I79" s="25">
        <f t="shared" si="41"/>
        <v>23</v>
      </c>
      <c r="J79" s="24">
        <f t="shared" si="41"/>
        <v>140564</v>
      </c>
      <c r="K79" s="26"/>
      <c r="L79" s="11" t="s">
        <v>18</v>
      </c>
      <c r="M79" s="25">
        <f t="shared" ref="M79:R79" si="42">SUM(M74:M78)</f>
        <v>53693</v>
      </c>
      <c r="N79" s="25">
        <f t="shared" si="42"/>
        <v>25397</v>
      </c>
      <c r="O79" s="25">
        <f t="shared" si="42"/>
        <v>405</v>
      </c>
      <c r="P79" s="25">
        <f t="shared" si="42"/>
        <v>27600</v>
      </c>
      <c r="Q79" s="25">
        <f t="shared" si="42"/>
        <v>28451</v>
      </c>
      <c r="R79" s="24">
        <f t="shared" si="42"/>
        <v>135546</v>
      </c>
      <c r="T79" s="11" t="s">
        <v>18</v>
      </c>
      <c r="U79" s="25">
        <f t="shared" ref="U79:Z79" si="43">SUM(U74:U78)</f>
        <v>893</v>
      </c>
      <c r="V79" s="25">
        <f t="shared" si="43"/>
        <v>1413</v>
      </c>
      <c r="W79" s="25">
        <f t="shared" si="43"/>
        <v>198</v>
      </c>
      <c r="X79" s="25">
        <f t="shared" si="43"/>
        <v>1693</v>
      </c>
      <c r="Y79" s="25">
        <f t="shared" si="43"/>
        <v>798</v>
      </c>
      <c r="Z79" s="24">
        <f t="shared" si="43"/>
        <v>4995</v>
      </c>
      <c r="AA79" s="28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</row>
    <row r="80" spans="2:42">
      <c r="B80" s="11" t="s">
        <v>19</v>
      </c>
      <c r="C80" s="20">
        <f t="shared" ref="C80:J80" si="44">IFERROR(+C78/C79,0)</f>
        <v>6.7746308577290887E-2</v>
      </c>
      <c r="D80" s="20">
        <f>IFERROR(+D78/D79,0)</f>
        <v>9.1607609101081691E-2</v>
      </c>
      <c r="E80" s="20">
        <f>IFERROR(+E78/E79,0)</f>
        <v>9.9502487562189053E-3</v>
      </c>
      <c r="F80" s="20">
        <f t="shared" si="44"/>
        <v>0.10268664868739973</v>
      </c>
      <c r="G80" s="20">
        <f t="shared" si="44"/>
        <v>5.5523265752675306E-2</v>
      </c>
      <c r="H80" s="21">
        <f t="shared" si="44"/>
        <v>7.678897972833551E-2</v>
      </c>
      <c r="I80" s="20">
        <f t="shared" si="44"/>
        <v>0.91304347826086951</v>
      </c>
      <c r="J80" s="21">
        <f t="shared" si="44"/>
        <v>7.6925813152727576E-2</v>
      </c>
      <c r="L80" s="11" t="s">
        <v>19</v>
      </c>
      <c r="M80" s="20">
        <f t="shared" ref="M80:R80" si="45">IFERROR(+M78/M79,0)</f>
        <v>6.4310059039353357E-2</v>
      </c>
      <c r="N80" s="20">
        <f t="shared" si="45"/>
        <v>8.2332558963657126E-2</v>
      </c>
      <c r="O80" s="20">
        <f t="shared" si="45"/>
        <v>4.9382716049382715E-3</v>
      </c>
      <c r="P80" s="20">
        <f t="shared" si="45"/>
        <v>9.6195652173913043E-2</v>
      </c>
      <c r="Q80" s="20">
        <f t="shared" si="45"/>
        <v>5.2722224174897192E-2</v>
      </c>
      <c r="R80" s="21">
        <f t="shared" si="45"/>
        <v>7.1569799182565327E-2</v>
      </c>
      <c r="T80" s="11" t="s">
        <v>19</v>
      </c>
      <c r="U80" s="20">
        <f t="shared" ref="U80:Z80" si="46">IFERROR(+U78/U79,0)</f>
        <v>0.27435610302351626</v>
      </c>
      <c r="V80" s="20">
        <f t="shared" si="46"/>
        <v>0.25831564048124556</v>
      </c>
      <c r="W80" s="20">
        <f t="shared" si="46"/>
        <v>2.0202020202020204E-2</v>
      </c>
      <c r="X80" s="20">
        <f t="shared" si="46"/>
        <v>0.20850561134081513</v>
      </c>
      <c r="Y80" s="20">
        <f t="shared" si="46"/>
        <v>0.15538847117794485</v>
      </c>
      <c r="Z80" s="21">
        <f t="shared" si="46"/>
        <v>0.21841841841841841</v>
      </c>
    </row>
    <row r="82" spans="2:2">
      <c r="B82" s="29"/>
    </row>
    <row r="83" spans="2:2">
      <c r="B83" s="30"/>
    </row>
    <row r="84" spans="2:2">
      <c r="B84" s="29"/>
    </row>
    <row r="85" spans="2:2">
      <c r="B85" s="29"/>
    </row>
    <row r="86" spans="2:2">
      <c r="B86" s="29"/>
    </row>
    <row r="87" spans="2:2">
      <c r="B87" s="29"/>
    </row>
    <row r="88" spans="2:2">
      <c r="B88" s="29"/>
    </row>
    <row r="89" spans="2:2">
      <c r="B89" s="29"/>
    </row>
    <row r="90" spans="2:2">
      <c r="B90" s="29"/>
    </row>
    <row r="91" spans="2:2">
      <c r="B91" s="29"/>
    </row>
    <row r="92" spans="2:2">
      <c r="B92" s="2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DF3F0-BFF0-4F61-A8AB-CD67D8BEA135}">
  <dimension ref="B2:T64"/>
  <sheetViews>
    <sheetView showGridLines="0" zoomScale="85" zoomScaleNormal="85" workbookViewId="0">
      <selection activeCell="H60" sqref="H60"/>
    </sheetView>
  </sheetViews>
  <sheetFormatPr defaultRowHeight="14.4"/>
  <cols>
    <col min="1" max="1" width="3.5546875" customWidth="1"/>
    <col min="2" max="2" width="25.6640625" customWidth="1"/>
    <col min="3" max="19" width="11.109375" customWidth="1"/>
    <col min="20" max="20" width="9.33203125" customWidth="1"/>
    <col min="21" max="25" width="10.109375" bestFit="1" customWidth="1"/>
    <col min="26" max="26" width="11.6640625" bestFit="1" customWidth="1"/>
  </cols>
  <sheetData>
    <row r="2" spans="2:20">
      <c r="B2" s="26" t="s">
        <v>27</v>
      </c>
      <c r="C2" s="31"/>
    </row>
    <row r="3" spans="2:20">
      <c r="B3" s="32" t="s">
        <v>28</v>
      </c>
      <c r="C3" s="33">
        <v>46142</v>
      </c>
      <c r="D3" s="33">
        <v>46173</v>
      </c>
      <c r="E3" s="33">
        <v>46203</v>
      </c>
      <c r="F3" s="33">
        <v>46234</v>
      </c>
      <c r="G3" s="33">
        <v>46265</v>
      </c>
      <c r="H3" s="33">
        <v>46295</v>
      </c>
      <c r="I3" s="33">
        <v>46326</v>
      </c>
      <c r="J3" s="33">
        <v>46356</v>
      </c>
      <c r="K3" s="33">
        <v>46387</v>
      </c>
      <c r="L3" s="33">
        <v>46418</v>
      </c>
      <c r="M3" s="33">
        <v>46446</v>
      </c>
      <c r="N3" s="33">
        <v>46477</v>
      </c>
      <c r="O3" s="33">
        <v>46507</v>
      </c>
      <c r="P3" s="33">
        <v>46538</v>
      </c>
      <c r="Q3" s="33">
        <v>46568</v>
      </c>
      <c r="R3" s="33">
        <v>46599</v>
      </c>
      <c r="S3" s="34" t="s">
        <v>1</v>
      </c>
    </row>
    <row r="4" spans="2:20">
      <c r="B4" s="35" t="s">
        <v>5</v>
      </c>
      <c r="C4" s="16">
        <v>2118857.6644736845</v>
      </c>
      <c r="D4" s="16">
        <v>2114686.8988235276</v>
      </c>
      <c r="E4" s="16">
        <v>693905.73466000892</v>
      </c>
      <c r="F4" s="16">
        <v>2752885.3442622977</v>
      </c>
      <c r="G4" s="16">
        <v>1951975.0446428573</v>
      </c>
      <c r="H4" s="16">
        <v>1014956.7737059505</v>
      </c>
      <c r="I4" s="16">
        <v>1822362.2036363636</v>
      </c>
      <c r="J4" s="16">
        <v>1172448.0040983609</v>
      </c>
      <c r="K4" s="16">
        <v>663033.85915492964</v>
      </c>
      <c r="L4" s="16">
        <v>2047497.934426229</v>
      </c>
      <c r="M4" s="16">
        <v>1581893.7499999998</v>
      </c>
      <c r="N4" s="16">
        <v>2022325.2540983614</v>
      </c>
      <c r="O4" s="16">
        <v>2863475.6506528766</v>
      </c>
      <c r="P4" s="16">
        <v>0</v>
      </c>
      <c r="Q4" s="16">
        <v>0</v>
      </c>
      <c r="R4" s="16">
        <v>0</v>
      </c>
      <c r="S4" s="16">
        <f t="shared" ref="S4:S9" si="0">SUM(C4:R4)</f>
        <v>22820304.116635449</v>
      </c>
    </row>
    <row r="5" spans="2:20">
      <c r="B5" s="35" t="s">
        <v>6</v>
      </c>
      <c r="C5" s="16">
        <v>1427805.8881578946</v>
      </c>
      <c r="D5" s="16">
        <v>1371888.0941176468</v>
      </c>
      <c r="E5" s="16">
        <v>497754.7884130982</v>
      </c>
      <c r="F5" s="16">
        <v>2736761.4180327859</v>
      </c>
      <c r="G5" s="16">
        <v>1733948.4464285716</v>
      </c>
      <c r="H5" s="16">
        <v>1110635.0721311469</v>
      </c>
      <c r="I5" s="16">
        <v>2110382.5745454547</v>
      </c>
      <c r="J5" s="16">
        <v>1302806.7213114761</v>
      </c>
      <c r="K5" s="16">
        <v>419766.9577464789</v>
      </c>
      <c r="L5" s="16">
        <v>1871862.8196721305</v>
      </c>
      <c r="M5" s="16">
        <v>1864259.4539473685</v>
      </c>
      <c r="N5" s="16">
        <v>2177172.1229508193</v>
      </c>
      <c r="O5" s="16">
        <v>3245607.4175824188</v>
      </c>
      <c r="P5" s="16">
        <v>0</v>
      </c>
      <c r="Q5" s="16">
        <v>0</v>
      </c>
      <c r="R5" s="16">
        <v>0</v>
      </c>
      <c r="S5" s="16">
        <f t="shared" si="0"/>
        <v>21870651.775037292</v>
      </c>
    </row>
    <row r="6" spans="2:20">
      <c r="B6" s="35" t="s">
        <v>7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15354.909836065573</v>
      </c>
      <c r="O6" s="16">
        <v>54801.824175824178</v>
      </c>
      <c r="P6" s="16">
        <v>0</v>
      </c>
      <c r="Q6" s="16">
        <v>0</v>
      </c>
      <c r="R6" s="16">
        <v>0</v>
      </c>
      <c r="S6" s="16">
        <f t="shared" si="0"/>
        <v>70156.734011889755</v>
      </c>
    </row>
    <row r="7" spans="2:20">
      <c r="B7" s="35" t="s">
        <v>8</v>
      </c>
      <c r="C7" s="16">
        <v>2825507.0197368418</v>
      </c>
      <c r="D7" s="16">
        <v>2159261.2329411758</v>
      </c>
      <c r="E7" s="16">
        <v>731175.5642317381</v>
      </c>
      <c r="F7" s="16">
        <v>3175070.18032787</v>
      </c>
      <c r="G7" s="16">
        <v>2084827.6696428559</v>
      </c>
      <c r="H7" s="16">
        <v>1292737.4622950824</v>
      </c>
      <c r="I7" s="16">
        <v>2001579.6218181816</v>
      </c>
      <c r="J7" s="16">
        <v>1455170.3606557376</v>
      </c>
      <c r="K7" s="16">
        <v>529099.61971830984</v>
      </c>
      <c r="L7" s="16">
        <v>2142428.1475409833</v>
      </c>
      <c r="M7" s="16">
        <v>1437694.1842105251</v>
      </c>
      <c r="N7" s="16">
        <v>2329245.7377049169</v>
      </c>
      <c r="O7" s="16">
        <v>3308186.0989010986</v>
      </c>
      <c r="P7" s="16">
        <v>0</v>
      </c>
      <c r="Q7" s="16">
        <v>0</v>
      </c>
      <c r="R7" s="16">
        <v>14000</v>
      </c>
      <c r="S7" s="16">
        <f t="shared" si="0"/>
        <v>25485982.899725318</v>
      </c>
    </row>
    <row r="8" spans="2:20">
      <c r="B8" s="35" t="s">
        <v>9</v>
      </c>
      <c r="C8" s="16">
        <v>2418786.0131578953</v>
      </c>
      <c r="D8" s="16">
        <v>1659012.7223529411</v>
      </c>
      <c r="E8" s="16">
        <v>695847.64231738041</v>
      </c>
      <c r="F8" s="16">
        <v>2846055.0409836057</v>
      </c>
      <c r="G8" s="16">
        <v>1775419.5803571432</v>
      </c>
      <c r="H8" s="16">
        <v>959683.3081967216</v>
      </c>
      <c r="I8" s="16">
        <v>3175657.167272727</v>
      </c>
      <c r="J8" s="16">
        <v>1873327.4795081967</v>
      </c>
      <c r="K8" s="16">
        <v>596827.5915492957</v>
      </c>
      <c r="L8" s="16">
        <v>3587516.180327869</v>
      </c>
      <c r="M8" s="16">
        <v>2693472.2236842117</v>
      </c>
      <c r="N8" s="16">
        <v>3185384.9016393432</v>
      </c>
      <c r="O8" s="16">
        <v>5038202.5604395624</v>
      </c>
      <c r="P8" s="16">
        <v>0</v>
      </c>
      <c r="Q8" s="16">
        <v>0</v>
      </c>
      <c r="R8" s="16">
        <v>0</v>
      </c>
      <c r="S8" s="16">
        <f t="shared" si="0"/>
        <v>30505192.411786892</v>
      </c>
      <c r="T8" s="18"/>
    </row>
    <row r="9" spans="2:20">
      <c r="B9" s="35" t="s">
        <v>1</v>
      </c>
      <c r="C9" s="19">
        <f>SUM(C4:C8)</f>
        <v>8790956.5855263155</v>
      </c>
      <c r="D9" s="19">
        <f t="shared" ref="D9:Q9" si="1">SUM(D4:D8)</f>
        <v>7304848.948235292</v>
      </c>
      <c r="E9" s="19">
        <f t="shared" si="1"/>
        <v>2618683.7296222253</v>
      </c>
      <c r="F9" s="19">
        <f t="shared" si="1"/>
        <v>11510771.98360656</v>
      </c>
      <c r="G9" s="19">
        <f t="shared" si="1"/>
        <v>7546170.7410714291</v>
      </c>
      <c r="H9" s="19">
        <f t="shared" si="1"/>
        <v>4378012.6163289016</v>
      </c>
      <c r="I9" s="19">
        <f t="shared" si="1"/>
        <v>9109981.5672727264</v>
      </c>
      <c r="J9" s="19">
        <f t="shared" si="1"/>
        <v>5803752.5655737715</v>
      </c>
      <c r="K9" s="19">
        <f>SUM(K4:K8)</f>
        <v>2208728.0281690145</v>
      </c>
      <c r="L9" s="19">
        <f t="shared" si="1"/>
        <v>9649305.0819672123</v>
      </c>
      <c r="M9" s="19">
        <f t="shared" si="1"/>
        <v>7577319.6118421052</v>
      </c>
      <c r="N9" s="19">
        <f t="shared" si="1"/>
        <v>9729482.9262295067</v>
      </c>
      <c r="O9" s="19">
        <f t="shared" si="1"/>
        <v>14510273.551751779</v>
      </c>
      <c r="P9" s="19">
        <f t="shared" si="1"/>
        <v>0</v>
      </c>
      <c r="Q9" s="19">
        <f t="shared" si="1"/>
        <v>0</v>
      </c>
      <c r="R9" s="19">
        <f>SUM(R4:R8)</f>
        <v>14000</v>
      </c>
      <c r="S9" s="19">
        <f t="shared" si="0"/>
        <v>100752287.93719685</v>
      </c>
      <c r="T9" s="36">
        <f>S9-Summary!H10</f>
        <v>0</v>
      </c>
    </row>
    <row r="10" spans="2:20"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6"/>
    </row>
    <row r="11" spans="2:20">
      <c r="B11" s="26" t="s">
        <v>29</v>
      </c>
      <c r="C11" s="31"/>
    </row>
    <row r="12" spans="2:20">
      <c r="B12" s="32" t="s">
        <v>28</v>
      </c>
      <c r="C12" s="33">
        <f>C3</f>
        <v>46142</v>
      </c>
      <c r="D12" s="33">
        <f t="shared" ref="D12:R12" si="2">D3</f>
        <v>46173</v>
      </c>
      <c r="E12" s="33">
        <f t="shared" si="2"/>
        <v>46203</v>
      </c>
      <c r="F12" s="33">
        <f t="shared" si="2"/>
        <v>46234</v>
      </c>
      <c r="G12" s="33">
        <f t="shared" si="2"/>
        <v>46265</v>
      </c>
      <c r="H12" s="33">
        <f t="shared" si="2"/>
        <v>46295</v>
      </c>
      <c r="I12" s="33">
        <f t="shared" si="2"/>
        <v>46326</v>
      </c>
      <c r="J12" s="33">
        <f t="shared" si="2"/>
        <v>46356</v>
      </c>
      <c r="K12" s="33">
        <f t="shared" si="2"/>
        <v>46387</v>
      </c>
      <c r="L12" s="33">
        <f t="shared" si="2"/>
        <v>46418</v>
      </c>
      <c r="M12" s="33">
        <f t="shared" si="2"/>
        <v>46446</v>
      </c>
      <c r="N12" s="33">
        <f t="shared" si="2"/>
        <v>46477</v>
      </c>
      <c r="O12" s="33">
        <f t="shared" si="2"/>
        <v>46507</v>
      </c>
      <c r="P12" s="33">
        <f t="shared" si="2"/>
        <v>46538</v>
      </c>
      <c r="Q12" s="33">
        <f t="shared" si="2"/>
        <v>46568</v>
      </c>
      <c r="R12" s="33">
        <f t="shared" si="2"/>
        <v>46599</v>
      </c>
      <c r="S12" s="34" t="s">
        <v>1</v>
      </c>
    </row>
    <row r="13" spans="2:20">
      <c r="B13" s="35" t="s">
        <v>5</v>
      </c>
      <c r="C13" s="16">
        <v>1263072.7171052629</v>
      </c>
      <c r="D13" s="16">
        <v>1466289.2047058814</v>
      </c>
      <c r="E13" s="16">
        <v>516320.46261970652</v>
      </c>
      <c r="F13" s="16">
        <v>1960668.8032786888</v>
      </c>
      <c r="G13" s="16">
        <v>1518271.9553571437</v>
      </c>
      <c r="H13" s="16">
        <v>691675.67206660658</v>
      </c>
      <c r="I13" s="16">
        <v>1463129.2545454539</v>
      </c>
      <c r="J13" s="16">
        <v>956692.22131147562</v>
      </c>
      <c r="K13" s="16">
        <v>554328.04225352115</v>
      </c>
      <c r="L13" s="16">
        <v>1731499.6557377037</v>
      </c>
      <c r="M13" s="16">
        <v>1194990.8552631573</v>
      </c>
      <c r="N13" s="16">
        <v>1699268.8196721312</v>
      </c>
      <c r="O13" s="16">
        <v>2417998.8021978005</v>
      </c>
      <c r="P13" s="16">
        <v>0</v>
      </c>
      <c r="Q13" s="16">
        <v>0</v>
      </c>
      <c r="R13" s="16">
        <v>0</v>
      </c>
      <c r="S13" s="16">
        <f t="shared" ref="S13:S18" si="3">SUM(C13:R13)</f>
        <v>17434206.466114532</v>
      </c>
    </row>
    <row r="14" spans="2:20">
      <c r="B14" s="35" t="s">
        <v>6</v>
      </c>
      <c r="C14" s="16">
        <v>1051666.6381578946</v>
      </c>
      <c r="D14" s="16">
        <v>1103148.5835294113</v>
      </c>
      <c r="E14" s="16">
        <v>411119.70528967254</v>
      </c>
      <c r="F14" s="16">
        <v>2388560.3360655732</v>
      </c>
      <c r="G14" s="16">
        <v>1613445.6607142861</v>
      </c>
      <c r="H14" s="16">
        <v>1020203.2065573772</v>
      </c>
      <c r="I14" s="16">
        <v>1978896.1672727272</v>
      </c>
      <c r="J14" s="16">
        <v>1170439.5368852464</v>
      </c>
      <c r="K14" s="16">
        <v>403379.14084507036</v>
      </c>
      <c r="L14" s="16">
        <v>1711597.0819672125</v>
      </c>
      <c r="M14" s="16">
        <v>1750065.6513157897</v>
      </c>
      <c r="N14" s="16">
        <v>2006666.6311475404</v>
      </c>
      <c r="O14" s="16">
        <v>3030598.4395604394</v>
      </c>
      <c r="P14" s="16">
        <v>0</v>
      </c>
      <c r="Q14" s="16">
        <v>0</v>
      </c>
      <c r="R14" s="16">
        <v>0</v>
      </c>
      <c r="S14" s="16">
        <f t="shared" si="3"/>
        <v>19639786.779308241</v>
      </c>
    </row>
    <row r="15" spans="2:20">
      <c r="B15" s="35" t="s">
        <v>7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15354.909836065573</v>
      </c>
      <c r="O15" s="16">
        <v>54801.824175824178</v>
      </c>
      <c r="P15" s="16">
        <v>0</v>
      </c>
      <c r="Q15" s="16">
        <v>0</v>
      </c>
      <c r="R15" s="16">
        <v>0</v>
      </c>
      <c r="S15" s="16">
        <f t="shared" si="3"/>
        <v>70156.734011889755</v>
      </c>
    </row>
    <row r="16" spans="2:20">
      <c r="B16" s="35" t="s">
        <v>8</v>
      </c>
      <c r="C16" s="16">
        <v>1846981.4407894742</v>
      </c>
      <c r="D16" s="16">
        <v>1610250.2564705883</v>
      </c>
      <c r="E16" s="16">
        <v>583412.88413098245</v>
      </c>
      <c r="F16" s="16">
        <v>2592918.8524590167</v>
      </c>
      <c r="G16" s="16">
        <v>1682469.3571428568</v>
      </c>
      <c r="H16" s="16">
        <v>1062061.350819672</v>
      </c>
      <c r="I16" s="16">
        <v>1589553.6909090912</v>
      </c>
      <c r="J16" s="16">
        <v>1273959.6147540987</v>
      </c>
      <c r="K16" s="16">
        <v>464781.22535211267</v>
      </c>
      <c r="L16" s="16">
        <v>1771558.5737704912</v>
      </c>
      <c r="M16" s="16">
        <v>1261940.6118421047</v>
      </c>
      <c r="N16" s="16">
        <v>2048273.459016392</v>
      </c>
      <c r="O16" s="16">
        <v>2871973.0549450531</v>
      </c>
      <c r="P16" s="16">
        <v>0</v>
      </c>
      <c r="Q16" s="16">
        <v>0</v>
      </c>
      <c r="R16" s="16">
        <v>14000</v>
      </c>
      <c r="S16" s="16">
        <f t="shared" si="3"/>
        <v>20674134.37240193</v>
      </c>
    </row>
    <row r="17" spans="2:20">
      <c r="B17" s="35" t="s">
        <v>9</v>
      </c>
      <c r="C17" s="16">
        <v>1625952.1710526315</v>
      </c>
      <c r="D17" s="16">
        <v>1166091.2235294117</v>
      </c>
      <c r="E17" s="16">
        <v>523095.91183879093</v>
      </c>
      <c r="F17" s="16">
        <v>2087054.7786885237</v>
      </c>
      <c r="G17" s="16">
        <v>1376263.6785714286</v>
      </c>
      <c r="H17" s="16">
        <v>792339.70163934433</v>
      </c>
      <c r="I17" s="16">
        <v>2719284.6109090894</v>
      </c>
      <c r="J17" s="16">
        <v>1631518.6885245901</v>
      </c>
      <c r="K17" s="16">
        <v>402371.8309859155</v>
      </c>
      <c r="L17" s="16">
        <v>3322124.5573770483</v>
      </c>
      <c r="M17" s="16">
        <v>2370680.6447368418</v>
      </c>
      <c r="N17" s="16">
        <v>2659583.1229508184</v>
      </c>
      <c r="O17" s="16">
        <v>4695970.9230769277</v>
      </c>
      <c r="P17" s="16">
        <v>0</v>
      </c>
      <c r="Q17" s="16">
        <v>0</v>
      </c>
      <c r="R17" s="16">
        <v>0</v>
      </c>
      <c r="S17" s="16">
        <f t="shared" si="3"/>
        <v>25372331.843881361</v>
      </c>
    </row>
    <row r="18" spans="2:20">
      <c r="B18" s="35" t="s">
        <v>1</v>
      </c>
      <c r="C18" s="19">
        <f>SUM(C13:C17)</f>
        <v>5787672.9671052638</v>
      </c>
      <c r="D18" s="19">
        <f t="shared" ref="D18:J18" si="4">SUM(D13:D17)</f>
        <v>5345779.2682352923</v>
      </c>
      <c r="E18" s="19">
        <f t="shared" si="4"/>
        <v>2033948.9638791524</v>
      </c>
      <c r="F18" s="19">
        <f t="shared" si="4"/>
        <v>9029202.7704918031</v>
      </c>
      <c r="G18" s="19">
        <f t="shared" si="4"/>
        <v>6190450.6517857164</v>
      </c>
      <c r="H18" s="19">
        <f t="shared" si="4"/>
        <v>3566279.9310830003</v>
      </c>
      <c r="I18" s="19">
        <f t="shared" si="4"/>
        <v>7750863.7236363618</v>
      </c>
      <c r="J18" s="19">
        <f t="shared" si="4"/>
        <v>5032610.0614754101</v>
      </c>
      <c r="K18" s="19">
        <f>SUM(K13:K17)</f>
        <v>1824860.2394366194</v>
      </c>
      <c r="L18" s="19">
        <f t="shared" ref="L18:Q18" si="5">SUM(L13:L17)</f>
        <v>8536779.8688524552</v>
      </c>
      <c r="M18" s="19">
        <f t="shared" si="5"/>
        <v>6577677.763157893</v>
      </c>
      <c r="N18" s="19">
        <f t="shared" si="5"/>
        <v>8429146.9426229484</v>
      </c>
      <c r="O18" s="19">
        <f t="shared" si="5"/>
        <v>13071343.043956045</v>
      </c>
      <c r="P18" s="19">
        <f t="shared" si="5"/>
        <v>0</v>
      </c>
      <c r="Q18" s="19">
        <f t="shared" si="5"/>
        <v>0</v>
      </c>
      <c r="R18" s="19">
        <f>SUM(R13:R17)</f>
        <v>14000</v>
      </c>
      <c r="S18" s="19">
        <f t="shared" si="3"/>
        <v>83190616.195717946</v>
      </c>
      <c r="T18" s="36">
        <f>S18-Summary!H21</f>
        <v>0</v>
      </c>
    </row>
    <row r="19" spans="2:20"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</row>
    <row r="20" spans="2:20">
      <c r="B20" s="26" t="s">
        <v>30</v>
      </c>
    </row>
    <row r="21" spans="2:20">
      <c r="B21" s="32" t="s">
        <v>31</v>
      </c>
      <c r="C21" s="32" t="s">
        <v>1</v>
      </c>
      <c r="D21" s="32">
        <v>15</v>
      </c>
      <c r="E21" s="32">
        <v>14</v>
      </c>
      <c r="F21" s="32">
        <v>13</v>
      </c>
      <c r="G21" s="32">
        <v>12</v>
      </c>
      <c r="H21" s="32">
        <v>11</v>
      </c>
      <c r="I21" s="32">
        <v>10</v>
      </c>
      <c r="J21" s="32">
        <v>9</v>
      </c>
      <c r="K21" s="32">
        <v>8</v>
      </c>
      <c r="L21" s="32">
        <v>7</v>
      </c>
      <c r="M21" s="32">
        <v>6</v>
      </c>
      <c r="N21" s="32">
        <v>5</v>
      </c>
      <c r="O21" s="32">
        <v>4</v>
      </c>
      <c r="P21" s="32">
        <v>3</v>
      </c>
      <c r="Q21" s="32">
        <v>2</v>
      </c>
      <c r="R21" s="32">
        <v>1</v>
      </c>
      <c r="S21" s="32">
        <v>0</v>
      </c>
    </row>
    <row r="22" spans="2:20">
      <c r="B22" s="38"/>
      <c r="C22" s="38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</row>
    <row r="23" spans="2:20">
      <c r="B23" s="39" t="s">
        <v>5</v>
      </c>
      <c r="C23" s="38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</row>
    <row r="24" spans="2:20">
      <c r="B24" s="40" t="s">
        <v>32</v>
      </c>
      <c r="C24" s="19">
        <f>SUM(D24:S24)</f>
        <v>22820304.116635442</v>
      </c>
      <c r="D24" s="19">
        <v>3414004.8476315797</v>
      </c>
      <c r="E24" s="19">
        <v>457934.13298808393</v>
      </c>
      <c r="F24" s="19">
        <v>2527091.781380822</v>
      </c>
      <c r="G24" s="19">
        <v>1824010.0885218177</v>
      </c>
      <c r="H24" s="19">
        <v>1141391.6756051374</v>
      </c>
      <c r="I24" s="19">
        <v>1745202.6745189582</v>
      </c>
      <c r="J24" s="19">
        <v>1393517.7612169783</v>
      </c>
      <c r="K24" s="19">
        <v>694087.88450423779</v>
      </c>
      <c r="L24" s="19">
        <v>1932299.48786477</v>
      </c>
      <c r="M24" s="19">
        <v>1636931.6885422179</v>
      </c>
      <c r="N24" s="19">
        <v>2075730.757825494</v>
      </c>
      <c r="O24" s="19">
        <v>2822441.2771763746</v>
      </c>
      <c r="P24" s="19">
        <v>643285.30320117739</v>
      </c>
      <c r="Q24" s="19">
        <v>286482.6690023769</v>
      </c>
      <c r="R24" s="19">
        <v>195131.0805230269</v>
      </c>
      <c r="S24" s="19">
        <v>30761.006132392198</v>
      </c>
    </row>
    <row r="25" spans="2:20">
      <c r="B25" s="41" t="s">
        <v>33</v>
      </c>
      <c r="C25" s="19">
        <f t="shared" ref="C25:C50" si="6">SUM(D25:S25)</f>
        <v>14489232</v>
      </c>
      <c r="D25" s="19">
        <v>2788963</v>
      </c>
      <c r="E25" s="19">
        <v>406530</v>
      </c>
      <c r="F25" s="19">
        <v>1806339</v>
      </c>
      <c r="G25" s="19">
        <v>1374870</v>
      </c>
      <c r="H25" s="19">
        <v>917177</v>
      </c>
      <c r="I25" s="19">
        <v>1155361</v>
      </c>
      <c r="J25" s="19">
        <v>930276</v>
      </c>
      <c r="K25" s="19">
        <v>508713</v>
      </c>
      <c r="L25" s="19">
        <v>1003407</v>
      </c>
      <c r="M25" s="19">
        <v>826287</v>
      </c>
      <c r="N25" s="19">
        <v>913527</v>
      </c>
      <c r="O25" s="19">
        <v>1054209</v>
      </c>
      <c r="P25" s="19">
        <v>392217</v>
      </c>
      <c r="Q25" s="19">
        <v>256239</v>
      </c>
      <c r="R25" s="19">
        <v>152205</v>
      </c>
      <c r="S25" s="19">
        <v>2912</v>
      </c>
    </row>
    <row r="26" spans="2:20">
      <c r="B26" s="41" t="s">
        <v>34</v>
      </c>
      <c r="C26" s="42">
        <f t="shared" si="6"/>
        <v>3698</v>
      </c>
      <c r="D26" s="42">
        <v>272</v>
      </c>
      <c r="E26" s="42">
        <v>50</v>
      </c>
      <c r="F26" s="42">
        <v>222</v>
      </c>
      <c r="G26" s="42">
        <v>201</v>
      </c>
      <c r="H26" s="42">
        <v>141</v>
      </c>
      <c r="I26" s="42">
        <v>204</v>
      </c>
      <c r="J26" s="42">
        <v>182</v>
      </c>
      <c r="K26" s="42">
        <v>131</v>
      </c>
      <c r="L26" s="42">
        <v>265</v>
      </c>
      <c r="M26" s="42">
        <v>248</v>
      </c>
      <c r="N26" s="42">
        <v>345</v>
      </c>
      <c r="O26" s="42">
        <v>549</v>
      </c>
      <c r="P26" s="42">
        <v>274</v>
      </c>
      <c r="Q26" s="42">
        <v>268</v>
      </c>
      <c r="R26" s="42">
        <v>286</v>
      </c>
      <c r="S26" s="42">
        <v>60</v>
      </c>
    </row>
    <row r="27" spans="2:20">
      <c r="B27" s="38"/>
      <c r="C27" s="38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</row>
    <row r="28" spans="2:20">
      <c r="B28" s="39" t="s">
        <v>6</v>
      </c>
      <c r="C28" s="38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</row>
    <row r="29" spans="2:20">
      <c r="B29" s="40" t="s">
        <v>32</v>
      </c>
      <c r="C29" s="19">
        <f>SUM(D29:S29)</f>
        <v>21870651.775037292</v>
      </c>
      <c r="D29" s="19">
        <v>2408682.9886377719</v>
      </c>
      <c r="E29" s="19">
        <v>445712.51118204655</v>
      </c>
      <c r="F29" s="19">
        <v>2434416.2431571824</v>
      </c>
      <c r="G29" s="19">
        <v>1778766.3203053761</v>
      </c>
      <c r="H29" s="19">
        <v>1036803.5826147163</v>
      </c>
      <c r="I29" s="19">
        <v>2054817.298477493</v>
      </c>
      <c r="J29" s="19">
        <v>1382355.5372252937</v>
      </c>
      <c r="K29" s="19">
        <v>598077.69548148755</v>
      </c>
      <c r="L29" s="19">
        <v>1676608.8413833356</v>
      </c>
      <c r="M29" s="19">
        <v>1991978.5883412787</v>
      </c>
      <c r="N29" s="19">
        <v>1939945.850015095</v>
      </c>
      <c r="O29" s="19">
        <v>3371174.7534137289</v>
      </c>
      <c r="P29" s="19">
        <v>496588.42899305606</v>
      </c>
      <c r="Q29" s="19">
        <v>106427.42700723602</v>
      </c>
      <c r="R29" s="19">
        <v>91631.387377177627</v>
      </c>
      <c r="S29" s="19">
        <v>56664.321425015885</v>
      </c>
    </row>
    <row r="30" spans="2:20">
      <c r="B30" s="41" t="s">
        <v>33</v>
      </c>
      <c r="C30" s="19">
        <f>SUM(D30:S30)</f>
        <v>12173645</v>
      </c>
      <c r="D30" s="19">
        <v>2039691</v>
      </c>
      <c r="E30" s="19">
        <v>418980</v>
      </c>
      <c r="F30" s="19">
        <v>1712249</v>
      </c>
      <c r="G30" s="19">
        <v>1254571</v>
      </c>
      <c r="H30" s="19">
        <v>767012</v>
      </c>
      <c r="I30" s="19">
        <v>1179378</v>
      </c>
      <c r="J30" s="19">
        <v>802028</v>
      </c>
      <c r="K30" s="19">
        <v>392249</v>
      </c>
      <c r="L30" s="19">
        <v>748179</v>
      </c>
      <c r="M30" s="19">
        <v>880352</v>
      </c>
      <c r="N30" s="19">
        <v>677635</v>
      </c>
      <c r="O30" s="19">
        <v>1025018</v>
      </c>
      <c r="P30" s="19">
        <v>172265</v>
      </c>
      <c r="Q30" s="19">
        <v>70507</v>
      </c>
      <c r="R30" s="19">
        <v>33507</v>
      </c>
      <c r="S30" s="19">
        <v>24</v>
      </c>
    </row>
    <row r="31" spans="2:20">
      <c r="B31" s="41" t="s">
        <v>34</v>
      </c>
      <c r="C31" s="42">
        <f>SUM(D31:S31)</f>
        <v>2456</v>
      </c>
      <c r="D31" s="42">
        <v>198</v>
      </c>
      <c r="E31" s="42">
        <v>38</v>
      </c>
      <c r="F31" s="42">
        <v>198</v>
      </c>
      <c r="G31" s="42">
        <v>165</v>
      </c>
      <c r="H31" s="42">
        <v>105</v>
      </c>
      <c r="I31" s="42">
        <v>209</v>
      </c>
      <c r="J31" s="42">
        <v>161</v>
      </c>
      <c r="K31" s="42">
        <v>77</v>
      </c>
      <c r="L31" s="42">
        <v>195</v>
      </c>
      <c r="M31" s="42">
        <v>224</v>
      </c>
      <c r="N31" s="42">
        <v>242</v>
      </c>
      <c r="O31" s="42">
        <v>427</v>
      </c>
      <c r="P31" s="42">
        <v>98</v>
      </c>
      <c r="Q31" s="42">
        <v>50</v>
      </c>
      <c r="R31" s="42">
        <v>51</v>
      </c>
      <c r="S31" s="42">
        <v>18</v>
      </c>
    </row>
    <row r="32" spans="2:20">
      <c r="B32" s="38"/>
      <c r="C32" s="38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</row>
    <row r="33" spans="2:20">
      <c r="B33" s="39" t="s">
        <v>7</v>
      </c>
      <c r="C33" s="38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</row>
    <row r="34" spans="2:20">
      <c r="B34" s="40" t="s">
        <v>32</v>
      </c>
      <c r="C34" s="19">
        <f t="shared" ref="C34:C36" si="7">SUM(D34:S34)</f>
        <v>70156.734011889755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15354.909836065573</v>
      </c>
      <c r="O34" s="19">
        <v>39116.571428571435</v>
      </c>
      <c r="P34" s="19">
        <v>15685.252747252747</v>
      </c>
      <c r="Q34" s="19">
        <v>0</v>
      </c>
      <c r="R34" s="19">
        <v>0</v>
      </c>
      <c r="S34" s="19">
        <v>0</v>
      </c>
    </row>
    <row r="35" spans="2:20">
      <c r="B35" s="41" t="s">
        <v>33</v>
      </c>
      <c r="C35" s="19">
        <f t="shared" si="7"/>
        <v>12072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3070</v>
      </c>
      <c r="O35" s="19">
        <v>5300</v>
      </c>
      <c r="P35" s="19">
        <v>3702</v>
      </c>
      <c r="Q35" s="19">
        <v>0</v>
      </c>
      <c r="R35" s="19">
        <v>0</v>
      </c>
      <c r="S35" s="19">
        <v>0</v>
      </c>
    </row>
    <row r="36" spans="2:20">
      <c r="B36" s="41" t="s">
        <v>34</v>
      </c>
      <c r="C36" s="42">
        <f t="shared" si="7"/>
        <v>6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1</v>
      </c>
      <c r="O36" s="42">
        <v>4</v>
      </c>
      <c r="P36" s="42">
        <v>1</v>
      </c>
      <c r="Q36" s="42">
        <v>0</v>
      </c>
      <c r="R36" s="42">
        <v>0</v>
      </c>
      <c r="S36" s="42">
        <v>0</v>
      </c>
    </row>
    <row r="37" spans="2:20">
      <c r="B37" s="38"/>
      <c r="C37" s="38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</row>
    <row r="38" spans="2:20">
      <c r="B38" s="39" t="s">
        <v>8</v>
      </c>
      <c r="C38" s="38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</row>
    <row r="39" spans="2:20">
      <c r="B39" s="40" t="s">
        <v>32</v>
      </c>
      <c r="C39" s="19">
        <f t="shared" si="6"/>
        <v>25485982.899725314</v>
      </c>
      <c r="D39" s="19">
        <v>4247848.6957806265</v>
      </c>
      <c r="E39" s="19">
        <v>621614.00641635025</v>
      </c>
      <c r="F39" s="19">
        <v>2597029.6125865271</v>
      </c>
      <c r="G39" s="19">
        <v>2252161.0437685936</v>
      </c>
      <c r="H39" s="19">
        <v>1447650.6781054891</v>
      </c>
      <c r="I39" s="19">
        <v>2096669.1872886331</v>
      </c>
      <c r="J39" s="19">
        <v>1546738.6995523656</v>
      </c>
      <c r="K39" s="19">
        <v>723676.07663563488</v>
      </c>
      <c r="L39" s="19">
        <v>1924689.3286707576</v>
      </c>
      <c r="M39" s="19">
        <v>1575716.4517120454</v>
      </c>
      <c r="N39" s="19">
        <v>2222912.7127591404</v>
      </c>
      <c r="O39" s="19">
        <v>3329834.5341172549</v>
      </c>
      <c r="P39" s="19">
        <v>612389.41985484597</v>
      </c>
      <c r="Q39" s="19">
        <v>166593.99561145998</v>
      </c>
      <c r="R39" s="19">
        <v>72295.128456295861</v>
      </c>
      <c r="S39" s="19">
        <v>48163.328409295624</v>
      </c>
    </row>
    <row r="40" spans="2:20">
      <c r="B40" s="41" t="s">
        <v>33</v>
      </c>
      <c r="C40" s="19">
        <f t="shared" si="6"/>
        <v>15707570</v>
      </c>
      <c r="D40" s="19">
        <v>3677253</v>
      </c>
      <c r="E40" s="19">
        <v>555572</v>
      </c>
      <c r="F40" s="19">
        <v>1868545</v>
      </c>
      <c r="G40" s="19">
        <v>1682253</v>
      </c>
      <c r="H40" s="19">
        <v>1131554</v>
      </c>
      <c r="I40" s="19">
        <v>1318730</v>
      </c>
      <c r="J40" s="19">
        <v>953377</v>
      </c>
      <c r="K40" s="19">
        <v>498257</v>
      </c>
      <c r="L40" s="19">
        <v>926541</v>
      </c>
      <c r="M40" s="19">
        <v>747466</v>
      </c>
      <c r="N40" s="19">
        <v>892843</v>
      </c>
      <c r="O40" s="19">
        <v>1050561</v>
      </c>
      <c r="P40" s="19">
        <v>223208</v>
      </c>
      <c r="Q40" s="19">
        <v>126135</v>
      </c>
      <c r="R40" s="19">
        <v>54228</v>
      </c>
      <c r="S40" s="19">
        <v>1047</v>
      </c>
    </row>
    <row r="41" spans="2:20">
      <c r="B41" s="41" t="s">
        <v>34</v>
      </c>
      <c r="C41" s="42">
        <f t="shared" si="6"/>
        <v>3008</v>
      </c>
      <c r="D41" s="42">
        <v>333</v>
      </c>
      <c r="E41" s="42">
        <v>54</v>
      </c>
      <c r="F41" s="42">
        <v>216</v>
      </c>
      <c r="G41" s="42">
        <v>210</v>
      </c>
      <c r="H41" s="42">
        <v>144</v>
      </c>
      <c r="I41" s="42">
        <v>216</v>
      </c>
      <c r="J41" s="42">
        <v>170</v>
      </c>
      <c r="K41" s="42">
        <v>105</v>
      </c>
      <c r="L41" s="42">
        <v>242</v>
      </c>
      <c r="M41" s="42">
        <v>221</v>
      </c>
      <c r="N41" s="42">
        <v>313</v>
      </c>
      <c r="O41" s="42">
        <v>463</v>
      </c>
      <c r="P41" s="42">
        <v>110</v>
      </c>
      <c r="Q41" s="42">
        <v>98</v>
      </c>
      <c r="R41" s="42">
        <v>95</v>
      </c>
      <c r="S41" s="42">
        <v>18</v>
      </c>
    </row>
    <row r="42" spans="2:20">
      <c r="B42" s="38"/>
      <c r="C42" s="38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</row>
    <row r="43" spans="2:20">
      <c r="B43" s="39" t="s">
        <v>9</v>
      </c>
      <c r="C43" s="38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</row>
    <row r="44" spans="2:20">
      <c r="B44" s="40" t="s">
        <v>32</v>
      </c>
      <c r="C44" s="19">
        <f t="shared" si="6"/>
        <v>30505192.411786895</v>
      </c>
      <c r="D44" s="19">
        <v>3376260.5799845224</v>
      </c>
      <c r="E44" s="19">
        <v>597459.30835858709</v>
      </c>
      <c r="F44" s="19">
        <v>2680771.2527351687</v>
      </c>
      <c r="G44" s="19">
        <v>1810667.2645180942</v>
      </c>
      <c r="H44" s="19">
        <v>884236.39895956998</v>
      </c>
      <c r="I44" s="19">
        <v>3250066.7234047386</v>
      </c>
      <c r="J44" s="19">
        <v>2023557.6301125877</v>
      </c>
      <c r="K44" s="19">
        <v>836789.24352424708</v>
      </c>
      <c r="L44" s="19">
        <v>3191504.3692721413</v>
      </c>
      <c r="M44" s="19">
        <v>2739292.1069988199</v>
      </c>
      <c r="N44" s="19">
        <v>3114554.3785887226</v>
      </c>
      <c r="O44" s="19">
        <v>4848690.2084484827</v>
      </c>
      <c r="P44" s="19">
        <v>855915.0635067774</v>
      </c>
      <c r="Q44" s="19">
        <v>124045.74934857989</v>
      </c>
      <c r="R44" s="19">
        <v>113227.38523503995</v>
      </c>
      <c r="S44" s="19">
        <v>58154.748790815443</v>
      </c>
    </row>
    <row r="45" spans="2:20">
      <c r="B45" s="41" t="s">
        <v>33</v>
      </c>
      <c r="C45" s="19">
        <f t="shared" si="6"/>
        <v>11136492</v>
      </c>
      <c r="D45" s="19">
        <v>1938444</v>
      </c>
      <c r="E45" s="19">
        <v>392243</v>
      </c>
      <c r="F45" s="19">
        <v>1299178</v>
      </c>
      <c r="G45" s="19">
        <v>793367</v>
      </c>
      <c r="H45" s="19">
        <v>568678</v>
      </c>
      <c r="I45" s="19">
        <v>1293347</v>
      </c>
      <c r="J45" s="19">
        <v>760099</v>
      </c>
      <c r="K45" s="19">
        <v>516748</v>
      </c>
      <c r="L45" s="19">
        <v>872434</v>
      </c>
      <c r="M45" s="19">
        <v>761358</v>
      </c>
      <c r="N45" s="19">
        <v>682489</v>
      </c>
      <c r="O45" s="19">
        <v>939776</v>
      </c>
      <c r="P45" s="19">
        <v>186823</v>
      </c>
      <c r="Q45" s="19">
        <v>94669</v>
      </c>
      <c r="R45" s="19">
        <v>36067</v>
      </c>
      <c r="S45" s="19">
        <v>772</v>
      </c>
    </row>
    <row r="46" spans="2:20">
      <c r="B46" s="41" t="s">
        <v>34</v>
      </c>
      <c r="C46" s="42">
        <f t="shared" si="6"/>
        <v>1624</v>
      </c>
      <c r="D46" s="42">
        <v>122</v>
      </c>
      <c r="E46" s="42">
        <v>26</v>
      </c>
      <c r="F46" s="42">
        <v>97</v>
      </c>
      <c r="G46" s="42">
        <v>76</v>
      </c>
      <c r="H46" s="42">
        <v>54</v>
      </c>
      <c r="I46" s="42">
        <v>136</v>
      </c>
      <c r="J46" s="42">
        <v>99</v>
      </c>
      <c r="K46" s="42">
        <v>69</v>
      </c>
      <c r="L46" s="42">
        <v>147</v>
      </c>
      <c r="M46" s="42">
        <v>142</v>
      </c>
      <c r="N46" s="42">
        <v>175</v>
      </c>
      <c r="O46" s="42">
        <v>295</v>
      </c>
      <c r="P46" s="42">
        <v>69</v>
      </c>
      <c r="Q46" s="42">
        <v>51</v>
      </c>
      <c r="R46" s="42">
        <v>51</v>
      </c>
      <c r="S46" s="42">
        <v>15</v>
      </c>
    </row>
    <row r="47" spans="2:20">
      <c r="B47" s="38"/>
      <c r="C47" s="38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 spans="2:20">
      <c r="B48" s="35" t="s">
        <v>35</v>
      </c>
      <c r="C48" s="19">
        <f t="shared" si="6"/>
        <v>100752287.93719682</v>
      </c>
      <c r="D48" s="19">
        <f>D24+D39+D44+D29+D34</f>
        <v>13446797.1120345</v>
      </c>
      <c r="E48" s="19">
        <f t="shared" ref="E48:S50" si="8">E24+E39+E44+E29+E34</f>
        <v>2122719.9589450681</v>
      </c>
      <c r="F48" s="19">
        <f t="shared" si="8"/>
        <v>10239308.889859701</v>
      </c>
      <c r="G48" s="19">
        <f t="shared" si="8"/>
        <v>7665604.7171138814</v>
      </c>
      <c r="H48" s="19">
        <f t="shared" si="8"/>
        <v>4510082.335284913</v>
      </c>
      <c r="I48" s="19">
        <f t="shared" si="8"/>
        <v>9146755.8836898226</v>
      </c>
      <c r="J48" s="19">
        <f t="shared" si="8"/>
        <v>6346169.6281072255</v>
      </c>
      <c r="K48" s="19">
        <f t="shared" si="8"/>
        <v>2852630.9001456071</v>
      </c>
      <c r="L48" s="19">
        <f t="shared" si="8"/>
        <v>8725102.0271910056</v>
      </c>
      <c r="M48" s="19">
        <f t="shared" si="8"/>
        <v>7943918.8355943616</v>
      </c>
      <c r="N48" s="19">
        <f t="shared" si="8"/>
        <v>9368498.6090245172</v>
      </c>
      <c r="O48" s="19">
        <f t="shared" si="8"/>
        <v>14411257.344584413</v>
      </c>
      <c r="P48" s="19">
        <f t="shared" si="8"/>
        <v>2623863.4683031095</v>
      </c>
      <c r="Q48" s="19">
        <f t="shared" si="8"/>
        <v>683549.84096965287</v>
      </c>
      <c r="R48" s="19">
        <f t="shared" si="8"/>
        <v>472284.98159154027</v>
      </c>
      <c r="S48" s="19">
        <f t="shared" si="8"/>
        <v>193743.40475751917</v>
      </c>
      <c r="T48" s="36">
        <f>C48-Summary!H10</f>
        <v>0</v>
      </c>
    </row>
    <row r="49" spans="2:20">
      <c r="B49" s="35" t="s">
        <v>36</v>
      </c>
      <c r="C49" s="19">
        <f t="shared" si="6"/>
        <v>53519011</v>
      </c>
      <c r="D49" s="19">
        <f>D25+D40+D45+D30+D35</f>
        <v>10444351</v>
      </c>
      <c r="E49" s="19">
        <f t="shared" si="8"/>
        <v>1773325</v>
      </c>
      <c r="F49" s="19">
        <f t="shared" si="8"/>
        <v>6686311</v>
      </c>
      <c r="G49" s="19">
        <f t="shared" si="8"/>
        <v>5105061</v>
      </c>
      <c r="H49" s="19">
        <f t="shared" si="8"/>
        <v>3384421</v>
      </c>
      <c r="I49" s="19">
        <f t="shared" si="8"/>
        <v>4946816</v>
      </c>
      <c r="J49" s="19">
        <f t="shared" si="8"/>
        <v>3445780</v>
      </c>
      <c r="K49" s="19">
        <f t="shared" si="8"/>
        <v>1915967</v>
      </c>
      <c r="L49" s="19">
        <f t="shared" si="8"/>
        <v>3550561</v>
      </c>
      <c r="M49" s="19">
        <f t="shared" si="8"/>
        <v>3215463</v>
      </c>
      <c r="N49" s="19">
        <f t="shared" si="8"/>
        <v>3169564</v>
      </c>
      <c r="O49" s="19">
        <f t="shared" si="8"/>
        <v>4074864</v>
      </c>
      <c r="P49" s="19">
        <f t="shared" si="8"/>
        <v>978215</v>
      </c>
      <c r="Q49" s="19">
        <f t="shared" si="8"/>
        <v>547550</v>
      </c>
      <c r="R49" s="19">
        <f t="shared" si="8"/>
        <v>276007</v>
      </c>
      <c r="S49" s="19">
        <f t="shared" si="8"/>
        <v>4755</v>
      </c>
      <c r="T49" s="36">
        <f>C49-Summary!H43</f>
        <v>0</v>
      </c>
    </row>
    <row r="50" spans="2:20">
      <c r="B50" s="35" t="s">
        <v>37</v>
      </c>
      <c r="C50" s="42">
        <f t="shared" si="6"/>
        <v>10792</v>
      </c>
      <c r="D50" s="42">
        <f>D26+D41+D46+D31+D36</f>
        <v>925</v>
      </c>
      <c r="E50" s="42">
        <f t="shared" si="8"/>
        <v>168</v>
      </c>
      <c r="F50" s="42">
        <f t="shared" si="8"/>
        <v>733</v>
      </c>
      <c r="G50" s="42">
        <f t="shared" si="8"/>
        <v>652</v>
      </c>
      <c r="H50" s="42">
        <f t="shared" si="8"/>
        <v>444</v>
      </c>
      <c r="I50" s="42">
        <f t="shared" si="8"/>
        <v>765</v>
      </c>
      <c r="J50" s="42">
        <f t="shared" si="8"/>
        <v>612</v>
      </c>
      <c r="K50" s="42">
        <f t="shared" si="8"/>
        <v>382</v>
      </c>
      <c r="L50" s="42">
        <f t="shared" si="8"/>
        <v>849</v>
      </c>
      <c r="M50" s="42">
        <f t="shared" si="8"/>
        <v>835</v>
      </c>
      <c r="N50" s="42">
        <f t="shared" si="8"/>
        <v>1076</v>
      </c>
      <c r="O50" s="42">
        <f t="shared" si="8"/>
        <v>1738</v>
      </c>
      <c r="P50" s="42">
        <f t="shared" si="8"/>
        <v>552</v>
      </c>
      <c r="Q50" s="42">
        <f t="shared" si="8"/>
        <v>467</v>
      </c>
      <c r="R50" s="42">
        <f t="shared" si="8"/>
        <v>483</v>
      </c>
      <c r="S50" s="42">
        <f t="shared" si="8"/>
        <v>111</v>
      </c>
      <c r="T50" s="36">
        <f>C50-Summary!H78</f>
        <v>0</v>
      </c>
    </row>
    <row r="53" spans="2:20">
      <c r="B53" s="37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</row>
    <row r="54" spans="2:20">
      <c r="B54" s="26" t="s">
        <v>38</v>
      </c>
    </row>
    <row r="55" spans="2:20">
      <c r="B55" s="32" t="s">
        <v>28</v>
      </c>
      <c r="C55" s="33">
        <f>C3</f>
        <v>46142</v>
      </c>
      <c r="D55" s="33">
        <f t="shared" ref="D55:R55" si="9">D3</f>
        <v>46173</v>
      </c>
      <c r="E55" s="33">
        <f t="shared" si="9"/>
        <v>46203</v>
      </c>
      <c r="F55" s="33">
        <f t="shared" si="9"/>
        <v>46234</v>
      </c>
      <c r="G55" s="33">
        <f t="shared" si="9"/>
        <v>46265</v>
      </c>
      <c r="H55" s="33">
        <f t="shared" si="9"/>
        <v>46295</v>
      </c>
      <c r="I55" s="33">
        <f t="shared" si="9"/>
        <v>46326</v>
      </c>
      <c r="J55" s="33">
        <f t="shared" si="9"/>
        <v>46356</v>
      </c>
      <c r="K55" s="33">
        <f t="shared" si="9"/>
        <v>46387</v>
      </c>
      <c r="L55" s="33">
        <f t="shared" si="9"/>
        <v>46418</v>
      </c>
      <c r="M55" s="33">
        <f t="shared" si="9"/>
        <v>46446</v>
      </c>
      <c r="N55" s="33">
        <f t="shared" si="9"/>
        <v>46477</v>
      </c>
      <c r="O55" s="33">
        <f t="shared" si="9"/>
        <v>46507</v>
      </c>
      <c r="P55" s="33">
        <f t="shared" si="9"/>
        <v>46538</v>
      </c>
      <c r="Q55" s="33">
        <f t="shared" si="9"/>
        <v>46568</v>
      </c>
      <c r="R55" s="33">
        <f t="shared" si="9"/>
        <v>46599</v>
      </c>
      <c r="S55" s="34" t="s">
        <v>1</v>
      </c>
    </row>
    <row r="56" spans="2:20">
      <c r="B56" s="35" t="s">
        <v>5</v>
      </c>
      <c r="C56" s="16">
        <v>406822.07894736843</v>
      </c>
      <c r="D56" s="16">
        <v>691657.45882352942</v>
      </c>
      <c r="E56" s="16">
        <v>100803.75062972293</v>
      </c>
      <c r="F56" s="16">
        <v>277368.74590163934</v>
      </c>
      <c r="G56" s="16">
        <v>355445.34821428574</v>
      </c>
      <c r="H56" s="16">
        <v>126225.38032786884</v>
      </c>
      <c r="I56" s="16">
        <v>58738.94545454545</v>
      </c>
      <c r="J56" s="16">
        <v>89563.155737704932</v>
      </c>
      <c r="K56" s="16">
        <v>25467.25352112676</v>
      </c>
      <c r="L56" s="16">
        <v>73222.295081967211</v>
      </c>
      <c r="M56" s="16">
        <v>62574.51315789474</v>
      </c>
      <c r="N56" s="16">
        <v>94896.975409836072</v>
      </c>
      <c r="O56" s="16">
        <v>340859.24175824178</v>
      </c>
      <c r="P56" s="16">
        <v>430767</v>
      </c>
      <c r="Q56" s="16">
        <v>612051</v>
      </c>
      <c r="R56" s="16">
        <v>3672871</v>
      </c>
      <c r="S56" s="16">
        <f t="shared" ref="S56:S61" si="10">SUM(C56:R56)</f>
        <v>7419334.1429657312</v>
      </c>
    </row>
    <row r="57" spans="2:20">
      <c r="B57" s="35" t="s">
        <v>6</v>
      </c>
      <c r="C57" s="16">
        <v>369294.93421052635</v>
      </c>
      <c r="D57" s="16">
        <v>555067.34117647039</v>
      </c>
      <c r="E57" s="16">
        <v>124511.91183879094</v>
      </c>
      <c r="F57" s="16">
        <v>446075.27868852456</v>
      </c>
      <c r="G57" s="16">
        <v>662486.73214285728</v>
      </c>
      <c r="H57" s="16">
        <v>223263.92459016395</v>
      </c>
      <c r="I57" s="16">
        <v>289460.69090909098</v>
      </c>
      <c r="J57" s="16">
        <v>95463.93852459015</v>
      </c>
      <c r="K57" s="16">
        <v>11048.760563380281</v>
      </c>
      <c r="L57" s="16">
        <v>59201.081967213118</v>
      </c>
      <c r="M57" s="16">
        <v>253639.64473684214</v>
      </c>
      <c r="N57" s="16">
        <v>397707.18032786885</v>
      </c>
      <c r="O57" s="16">
        <v>522650.70329670317</v>
      </c>
      <c r="P57" s="16">
        <v>584033</v>
      </c>
      <c r="Q57" s="16">
        <v>1588082</v>
      </c>
      <c r="R57" s="16">
        <v>6820744</v>
      </c>
      <c r="S57" s="16">
        <f t="shared" si="10"/>
        <v>13002731.122973023</v>
      </c>
    </row>
    <row r="58" spans="2:20">
      <c r="B58" s="35" t="s">
        <v>7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15354.909836065573</v>
      </c>
      <c r="O58" s="16">
        <v>36948.219780219784</v>
      </c>
      <c r="P58" s="16">
        <v>72716</v>
      </c>
      <c r="Q58" s="16">
        <v>222154</v>
      </c>
      <c r="R58" s="16">
        <v>2847182</v>
      </c>
      <c r="S58" s="16">
        <f t="shared" si="10"/>
        <v>3194355.1296162852</v>
      </c>
    </row>
    <row r="59" spans="2:20">
      <c r="B59" s="35" t="s">
        <v>8</v>
      </c>
      <c r="C59" s="16">
        <v>431931.84868421062</v>
      </c>
      <c r="D59" s="16">
        <v>644756.60235294141</v>
      </c>
      <c r="E59" s="16">
        <v>131768.97481108311</v>
      </c>
      <c r="F59" s="16">
        <v>641837.58196721307</v>
      </c>
      <c r="G59" s="16">
        <v>532194.81249999988</v>
      </c>
      <c r="H59" s="16">
        <v>142938.7508196721</v>
      </c>
      <c r="I59" s="16">
        <v>199242.62181818183</v>
      </c>
      <c r="J59" s="16">
        <v>51134.081967213118</v>
      </c>
      <c r="K59" s="16">
        <v>20416.183098591548</v>
      </c>
      <c r="L59" s="16">
        <v>66489.37704918033</v>
      </c>
      <c r="M59" s="16">
        <v>125777.61842105263</v>
      </c>
      <c r="N59" s="16">
        <v>348071.37704918021</v>
      </c>
      <c r="O59" s="16">
        <v>713878.74725274765</v>
      </c>
      <c r="P59" s="16">
        <v>1016303</v>
      </c>
      <c r="Q59" s="16">
        <v>1852832</v>
      </c>
      <c r="R59" s="16">
        <v>8567924</v>
      </c>
      <c r="S59" s="16">
        <f t="shared" si="10"/>
        <v>15487497.577791266</v>
      </c>
    </row>
    <row r="60" spans="2:20">
      <c r="B60" s="35" t="s">
        <v>9</v>
      </c>
      <c r="C60" s="16">
        <v>240877.36842105261</v>
      </c>
      <c r="D60" s="16">
        <v>334014.49176470586</v>
      </c>
      <c r="E60" s="16">
        <v>24076.798488664987</v>
      </c>
      <c r="F60" s="16">
        <v>225795.80327868852</v>
      </c>
      <c r="G60" s="16">
        <v>342009.2321428571</v>
      </c>
      <c r="H60" s="16">
        <v>72603.272131147547</v>
      </c>
      <c r="I60" s="16">
        <v>235923.00363636366</v>
      </c>
      <c r="J60" s="16">
        <v>24797.307377049179</v>
      </c>
      <c r="K60" s="16">
        <v>0</v>
      </c>
      <c r="L60" s="16">
        <v>121880.22950819673</v>
      </c>
      <c r="M60" s="16">
        <v>131863.07236842107</v>
      </c>
      <c r="N60" s="16">
        <v>377913.81967213115</v>
      </c>
      <c r="O60" s="16">
        <v>676097.97802197817</v>
      </c>
      <c r="P60" s="16">
        <v>598437</v>
      </c>
      <c r="Q60" s="16">
        <v>971992</v>
      </c>
      <c r="R60" s="16">
        <v>7857654</v>
      </c>
      <c r="S60" s="16">
        <f t="shared" si="10"/>
        <v>12235935.376811257</v>
      </c>
    </row>
    <row r="61" spans="2:20">
      <c r="B61" s="35" t="s">
        <v>1</v>
      </c>
      <c r="C61" s="19">
        <f>SUM(C56:C60)</f>
        <v>1448926.230263158</v>
      </c>
      <c r="D61" s="19">
        <f>SUM(D56:D60)</f>
        <v>2225495.8941176469</v>
      </c>
      <c r="E61" s="19">
        <f>SUM(E56:E60)</f>
        <v>381161.43576826196</v>
      </c>
      <c r="F61" s="19">
        <f>SUM(F56:F60)</f>
        <v>1591077.4098360657</v>
      </c>
      <c r="G61" s="19">
        <f>SUM(G56:G60)</f>
        <v>1892136.1249999998</v>
      </c>
      <c r="H61" s="19">
        <f t="shared" ref="H61:P61" si="11">SUM(H56:H60)</f>
        <v>565031.32786885242</v>
      </c>
      <c r="I61" s="19">
        <f t="shared" si="11"/>
        <v>783365.26181818196</v>
      </c>
      <c r="J61" s="19">
        <f t="shared" si="11"/>
        <v>260958.48360655736</v>
      </c>
      <c r="K61" s="19">
        <f t="shared" si="11"/>
        <v>56932.197183098586</v>
      </c>
      <c r="L61" s="19">
        <f t="shared" si="11"/>
        <v>320792.98360655736</v>
      </c>
      <c r="M61" s="19">
        <f t="shared" si="11"/>
        <v>573854.84868421056</v>
      </c>
      <c r="N61" s="19">
        <f t="shared" si="11"/>
        <v>1233944.262295082</v>
      </c>
      <c r="O61" s="19">
        <f t="shared" si="11"/>
        <v>2290434.8901098906</v>
      </c>
      <c r="P61" s="19">
        <f t="shared" si="11"/>
        <v>2702256</v>
      </c>
      <c r="Q61" s="19">
        <f>SUM(Q56:Q60)</f>
        <v>5247111</v>
      </c>
      <c r="R61" s="19">
        <f>SUM(R56:R60)</f>
        <v>29766375</v>
      </c>
      <c r="S61" s="19">
        <f t="shared" si="10"/>
        <v>51339853.350157566</v>
      </c>
      <c r="T61" s="36">
        <f>S61-Summary!Z11</f>
        <v>0</v>
      </c>
    </row>
    <row r="64" spans="2:20"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Write 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Nasif Muhammed</dc:creator>
  <cp:lastModifiedBy>Nasif Muhammed</cp:lastModifiedBy>
  <dcterms:created xsi:type="dcterms:W3CDTF">2026-04-02T07:42:16Z</dcterms:created>
  <dcterms:modified xsi:type="dcterms:W3CDTF">2026-04-02T07:44:48Z</dcterms:modified>
</cp:coreProperties>
</file>